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ange-0" sheetId="1" state="visible" r:id="rId3"/>
    <sheet name="Sheet2" sheetId="2" state="visible" r:id="rId4"/>
  </sheets>
  <calcPr iterateCount="100" refMode="A1" iterate="false" iterateDelta="0.0001"/>
</workbook>
</file>

<file path=xl/sharedStrings.xml><?xml version="1.0" encoding="utf-8"?>
<sst xmlns="http://schemas.openxmlformats.org/spreadsheetml/2006/main" count="2888" uniqueCount="1253">
  <si>
    <t xml:space="preserve">id</t>
  </si>
  <si>
    <t xml:space="preserve">art</t>
  </si>
  <si>
    <t xml:space="preserve">year</t>
  </si>
  <si>
    <t xml:space="preserve">fr</t>
  </si>
  <si>
    <t xml:space="preserve">de</t>
  </si>
  <si>
    <t xml:space="preserve">es</t>
  </si>
  <si>
    <t xml:space="preserve">it</t>
  </si>
  <si>
    <t xml:space="preserve">en</t>
  </si>
  <si>
    <t xml:space="preserve">pl</t>
  </si>
  <si>
    <t xml:space="preserve">ar</t>
  </si>
  <si>
    <t xml:space="preserve">pt</t>
  </si>
  <si>
    <t xml:space="preserve">zh</t>
  </si>
  <si>
    <t xml:space="preserve">cs</t>
  </si>
  <si>
    <t xml:space="preserve">hr</t>
  </si>
  <si>
    <t xml:space="preserve">hu</t>
  </si>
  <si>
    <t xml:space="preserve">mt</t>
  </si>
  <si>
    <t xml:space="preserve">nl</t>
  </si>
  <si>
    <t xml:space="preserve">ro</t>
  </si>
  <si>
    <t xml:space="preserve">vi</t>
  </si>
  <si>
    <t xml:space="preserve">heiliger</t>
  </si>
  <si>
    <t xml:space="preserve">start_datum</t>
  </si>
  <si>
    <t xml:space="preserve">end_datum</t>
  </si>
  <si>
    <t xml:space="preserve">folder_path</t>
  </si>
  <si>
    <t xml:space="preserve">advent-2026-lorenz</t>
  </si>
  <si>
    <t xml:space="preserve">advent</t>
  </si>
  <si>
    <t xml:space="preserve"/>
  </si>
  <si>
    <t xml:space="preserve">2026_advent</t>
  </si>
  <si>
    <t xml:space="preserve">2026_adviento</t>
  </si>
  <si>
    <t xml:space="preserve">2026_avvento</t>
  </si>
  <si>
    <t xml:space="preserve">2026_adwent</t>
  </si>
  <si>
    <t xml:space="preserve">2026_zaman-al-maji</t>
  </si>
  <si>
    <t xml:space="preserve">2026_advento</t>
  </si>
  <si>
    <t xml:space="preserve">2026_jianglinqi</t>
  </si>
  <si>
    <t xml:space="preserve">2026_dosasce</t>
  </si>
  <si>
    <t xml:space="preserve">2026_avvent</t>
  </si>
  <si>
    <t xml:space="preserve">2026_mua-vong</t>
  </si>
  <si>
    <t xml:space="preserve">Br. Lorenz von der Auferstehung</t>
  </si>
  <si>
    <t xml:space="preserve">2026-11-25</t>
  </si>
  <si>
    <t xml:space="preserve">2027-01-03</t>
  </si>
  <si>
    <t xml:space="preserve">X:\ALLGEMEIN\0900 Veröffentlichungen\Veröffentlichungen-aktuell\2026 Advent</t>
  </si>
  <si>
    <t xml:space="preserve">Advent 2026 mit Bruder Lorenz von der Auferstehung</t>
  </si>
  <si>
    <t xml:space="preserve">Advent 2026 with Brother Lawrence of the Resurrection</t>
  </si>
  <si>
    <t xml:space="preserve">Üben in der Gegenwart Gottes</t>
  </si>
  <si>
    <t xml:space="preserve">Bruder Laurentius von der Auferstehung, eine zurückhaltende Persönlichkeit des Karmel, war einer der großen Meister des geistlichen Lebens des 17. Jahrhunderts. Seine Lehren, die jüngst von Papst Leo XIV. wieder ins Rampenlicht gerückt wurden, sind erstaunlicherweise immer noch relevant.
 Dieser demütige Laienbruder lehrt uns, die Gegenwart Gottes in den Mittelpunkt unseres täglichen Lebens zu stellen. Seine Lehre wurzelt in der großen christlichen Tradition und ist eine Antwort auf Jesu Aufruf, „unablässig zu beten“ (Lukas 18,1), und gemäß der Mahnung des heiligen Paulus: „Betet ohne Unterlass“ (1 Thessalonicher 5,17). Für Bruder Lorenz ist der Weg einfach: in jedem Augenblick in der Gegenwart Gottes zu bleiben, egal welchen Berufen wir nachgehen.
 In dieser Adventszeit laden wir Sie ein, zu entdeckendiese Schule der Gegenwart Gottes, um in einer Beziehung zu wachseneinfacher, selbstsicherer und inniger mit dem Herrn.</t>
  </si>
  <si>
    <t xml:space="preserve">../de/img/2026_advent_header_DE.jpg</t>
  </si>
  <si>
    <t xml:space="preserve">lent-2026-johannes-vom-kreuz</t>
  </si>
  <si>
    <t xml:space="preserve">lent</t>
  </si>
  <si>
    <t xml:space="preserve">https://retraites.carmes-paris.org/careme-2026/careme-2026-st-jean-de-la-croix/</t>
  </si>
  <si>
    <t xml:space="preserve">2026_fastenzeit</t>
  </si>
  <si>
    <t xml:space="preserve">2026_cuaresma</t>
  </si>
  <si>
    <t xml:space="preserve">2026_quaresima</t>
  </si>
  <si>
    <t xml:space="preserve">2026_lent</t>
  </si>
  <si>
    <t xml:space="preserve">2026_wielki-post</t>
  </si>
  <si>
    <t xml:space="preserve">2026_al-sawm-al-kabir</t>
  </si>
  <si>
    <t xml:space="preserve">2026_quaresma</t>
  </si>
  <si>
    <t xml:space="preserve">2026_sixunqi</t>
  </si>
  <si>
    <t xml:space="preserve">2026_pust</t>
  </si>
  <si>
    <t xml:space="preserve">2026_korizma</t>
  </si>
  <si>
    <t xml:space="preserve">2026_nagybojt</t>
  </si>
  <si>
    <t xml:space="preserve">2026_randan</t>
  </si>
  <si>
    <t xml:space="preserve">2026_vastentijd</t>
  </si>
  <si>
    <t xml:space="preserve">2026_postul-mare</t>
  </si>
  <si>
    <t xml:space="preserve">2026_mua-chay</t>
  </si>
  <si>
    <t xml:space="preserve">Heiliger Johannes vom Kreuz</t>
  </si>
  <si>
    <t xml:space="preserve">2026-02-18</t>
  </si>
  <si>
    <t xml:space="preserve">2026-04-05</t>
  </si>
  <si>
    <t xml:space="preserve">X:\ALLGEMEIN\0900 Veröffentlichungen\Veröffentlichungen-aktuell\2026 Fastenzeit</t>
  </si>
  <si>
    <t xml:space="preserve">Ste Mariam de Jésus Crucifié (1846-1878)</t>
  </si>
  <si>
    <t xml:space="preserve">Fastenzeit 2026 mit dem heiligen Johannes vom Kreuz</t>
  </si>
  <si>
    <t xml:space="preserve">Cuaresma 2026 con San Juan de la Cruz</t>
  </si>
  <si>
    <t xml:space="preserve">Esercizi spirituali online per la Quaresima 2026 con San Giovanni della Croce</t>
  </si>
  <si>
    <t xml:space="preserve">Carmelite Online Lenten Retreat 2026 with Saint John of the Cross</t>
  </si>
  <si>
    <t xml:space="preserve">Karmelitańskie rekolekcje online ze św. Janem od Krzyża Wielki Post 2025</t>
  </si>
  <si>
    <t xml:space="preserve">صوم ٢٠٢٦ مع القديس يوحنا الصليب من ١٨ شباط إلى ٥ نيسان ٢٠٢٦</t>
  </si>
  <si>
    <t xml:space="preserve">Quaresma 2026 Com São João da Cruz</t>
  </si>
  <si>
    <r>
      <rPr>
        <sz val="10"/>
        <rFont val="Arial"/>
        <family val="2"/>
      </rPr>
      <t xml:space="preserve">2026</t>
    </r>
    <r>
      <rPr>
        <sz val="10"/>
        <rFont val="Microsoft YaHei"/>
        <family val="2"/>
      </rPr>
      <t xml:space="preserve">年四旬期——与圣十字若望同行 </t>
    </r>
    <r>
      <rPr>
        <sz val="10"/>
        <rFont val="Arial"/>
        <family val="2"/>
      </rPr>
      <t xml:space="preserve">2026</t>
    </r>
    <r>
      <rPr>
        <sz val="10"/>
        <rFont val="Microsoft YaHei"/>
        <family val="2"/>
      </rPr>
      <t xml:space="preserve">年</t>
    </r>
    <r>
      <rPr>
        <sz val="10"/>
        <rFont val="Arial"/>
        <family val="2"/>
      </rPr>
      <t xml:space="preserve">2</t>
    </r>
    <r>
      <rPr>
        <sz val="10"/>
        <rFont val="Microsoft YaHei"/>
        <family val="2"/>
      </rPr>
      <t xml:space="preserve">月</t>
    </r>
    <r>
      <rPr>
        <sz val="10"/>
        <rFont val="Arial"/>
        <family val="2"/>
      </rPr>
      <t xml:space="preserve">18</t>
    </r>
    <r>
      <rPr>
        <sz val="10"/>
        <rFont val="Microsoft YaHei"/>
        <family val="2"/>
      </rPr>
      <t xml:space="preserve">日至</t>
    </r>
    <r>
      <rPr>
        <sz val="10"/>
        <rFont val="Arial"/>
        <family val="2"/>
      </rPr>
      <t xml:space="preserve">4</t>
    </r>
    <r>
      <rPr>
        <sz val="10"/>
        <rFont val="Microsoft YaHei"/>
        <family val="2"/>
      </rPr>
      <t xml:space="preserve">月</t>
    </r>
    <r>
      <rPr>
        <sz val="10"/>
        <rFont val="Arial"/>
        <family val="2"/>
      </rPr>
      <t xml:space="preserve">5</t>
    </r>
    <r>
      <rPr>
        <sz val="10"/>
        <rFont val="Microsoft YaHei"/>
        <family val="2"/>
      </rPr>
      <t xml:space="preserve">日</t>
    </r>
  </si>
  <si>
    <t xml:space="preserve">Doba postní 2026 Online exercicie se svatým Janem od Kříže</t>
  </si>
  <si>
    <t xml:space="preserve">Korizma 2026. Online karmelske duhovne vježbe</t>
  </si>
  <si>
    <t xml:space="preserve">Kármelita online lelkigyakorlat a nagyböjt idején Keresztes Szent János sarutlan kármelita segítségével.</t>
  </si>
  <si>
    <t xml:space="preserve">Irtir tar-Randan Karmelitan Online 2026</t>
  </si>
  <si>
    <t xml:space="preserve">Vastentijd 2026 Online retraite: Sint Jan van het Kruis</t>
  </si>
  <si>
    <t xml:space="preserve">Postul Mare Reculegere spirituală carmelitană online Împreună cu Sfântul Ioan al Crucii</t>
  </si>
  <si>
    <t xml:space="preserve">Tĩnh tâm trên mạng trong mùa Chay 2026 của dòng Cát-Minh Chân Trần</t>
  </si>
  <si>
    <t xml:space="preserve">Christus in der Tiefe des Herzens begegnen</t>
  </si>
  <si>
    <t xml:space="preserve">«Encontrar a Cristo en lo más profundo de nuestro corazón»</t>
  </si>
  <si>
    <t xml:space="preserve">«Incontrare Gesù Cristo nel profondo del nostro cuore»</t>
  </si>
  <si>
    <t xml:space="preserve">Encountering Christ in the Depths of Our Hearts</t>
  </si>
  <si>
    <t xml:space="preserve">„Spotkanie z Jezusem Chrystusem w głębi naszego serca”</t>
  </si>
  <si>
    <r>
      <rPr>
        <sz val="10"/>
        <rFont val="Arial"/>
        <family val="2"/>
      </rPr>
      <t xml:space="preserve">"</t>
    </r>
    <r>
      <rPr>
        <sz val="10"/>
        <rFont val="Lucida Sans"/>
        <family val="2"/>
      </rPr>
      <t xml:space="preserve">نلتقي المسيح في أعماق قلبنا</t>
    </r>
    <r>
      <rPr>
        <sz val="10"/>
        <rFont val="Arial"/>
        <family val="2"/>
      </rPr>
      <t xml:space="preserve">"</t>
    </r>
  </si>
  <si>
    <t xml:space="preserve">“Encontrar Cristo no fundo de nosso coração”</t>
  </si>
  <si>
    <t xml:space="preserve">“在我们心灵深处与耶稣基督相遇”</t>
  </si>
  <si>
    <t xml:space="preserve">„Setkání s Kristem v hloubi našeho srdce“</t>
  </si>
  <si>
    <t xml:space="preserve">Susresti Krista u dubini svoga srca</t>
  </si>
  <si>
    <t xml:space="preserve">„Találkozzunk Krisztussal a szívünk legmélyén”</t>
  </si>
  <si>
    <t xml:space="preserve">“Niltaqgħu ma’ Kristu fil-Fond ta’ Qlubna, ma’ San Ġwann tas-Salib”</t>
  </si>
  <si>
    <t xml:space="preserve">“Christus ontmoeten diep in ons hart”</t>
  </si>
  <si>
    <t xml:space="preserve">„Să-L întâlnim pe Cristos în adâncul inimii noastre”</t>
  </si>
  <si>
    <t xml:space="preserve">« gặp Đức Ki-tô tận đáy lòng chúng ta »</t>
  </si>
  <si>
    <t xml:space="preserve">Wir bieten Ihnen Online-Exerzitien in der Schule des heiligen Johannes vom Kreuz an. In diesen Exerzitien werden wir im Lichte der Evangelien unsere Beziehung zu Jesus vertiefen, um im Heiligen Geist wieder zur Vertrautheit mit Ihm und mit Gott Vater in der Tiefe unseres Herzens zu gelangen. Es wird ein Weg der inneren Befreiung sein, auf dem uns Johannes vom Kreuz zuverlässig und sicher führen wird. Er wird uns in einer zunehmend auf das Äußere hin orientierten Welt lehren, wieder in unser tiefstes Inneres einzugehen, wo Christus, der Bräutigam der Kirche, uns begegnen und reinigen will, damit wir mit Ihm im Feuer des Heiligen Geistes zu den innig geliebten Kindern des Vaters werden.</t>
  </si>
  <si>
    <t xml:space="preserve">Te proponemos un retiro online en la escuela de San Juan de la Cruz. A lo largo de este retiro, profundizaremos, a la luz de los Evangelios, en nuestra relación con Jesús para reencontrar, en el Espíritu Santo, nuestra intimidad con Él y con el Padre, en lo más profundo de nuestro corazón. Será un camino de liberación interior en el que Juan de la Cruz será nuestro guía seguro. Él nos enseñará, en un mundo cada vez más exteriorizado, a reencontrar nuestro corazón profundo, allí donde Cristo, Esposo de la Iglesia, quiere encontrarnos y purificarnos, para que con Él nos convirtamos en los hijos amados del Padre, en el fuego del Espíritu Santo.</t>
  </si>
  <si>
    <t xml:space="preserve">Vi proponiamo questi esercizi spirituali online mettendoci alla scuola di san Giovanni della Croce, Carmelitano Scalzo. Durante questa quaresima, approfondiremo, alla luce dei Vangeli, la nostra relazione con Gesù per ritrovare, nello Spirito Santo, l'intimità con Lui e con il Padre nel più profondo del nostro cuore. Sarà un cammino di liberazione interiore nel quale Giovanni della Croce potrà essere la nostra guida sicura. In un mondo sempre più esteriore, ci insegnerà a ritrovare la profondità del nostro cuore, là dove Cristo, Sposo della Chiesa, vuole incontrarci e purificarsi così che diventiamo figli amati del Padre, nel fuoco dello Spirito Santo.</t>
  </si>
  <si>
    <t xml:space="preserve">We invite you to take part in an online retreat guided by Saint John of the Cross. Throughout this retreat, we will deepen our relationship with Jesus in the light of the Gospels. In the Holy Spirit, we will rediscover our intimacy with him and with the Father, in the very depths of our hearts. This retreat will be a path of interior liberation, with John of the Cross as our sure guide. In a world that is increasingly turned outward, he will teach us to rediscover our deepest heart, where Christ, Bridegroom of the Church, desires to meet us and to purify us. Through this purification, in the fire of the Holy Spirit, we may become the beloved children of the Father with him.</t>
  </si>
  <si>
    <t xml:space="preserve">Proponujemy wam te rekolekcje online, ucząc się od św. Jana od Krzyża. Podczas tego Wielkiego Postu, w świetle Ewangelii, pogłębimy naszą relację z Jezusem, aby w Duchu Świętym odnaleźć bliskość z Nim i z Ojcem w głębi naszego serca. Będzie to droga wewnętrznego wyzwolenia, na której Jan od Krzyża będzie naszym pewnym przewodnikiem. W coraz bardziej płytkim świecie nauczy nas on odnaleźć głębię naszego serca, gdzie Chrystus, Oblubieniec Kościoła, chce nas spotkać i oczyścić, abyśmy stali się umiłowanymi dziećmi Ojca rozpalonymi Duchem Świętym.</t>
  </si>
  <si>
    <r>
      <rPr>
        <sz val="10"/>
        <rFont val="Lucida Sans"/>
        <family val="2"/>
      </rPr>
      <t xml:space="preserve">نقترح عليكم رياضة روحيّة عبر الإنترنت في مدرسة القديس يوحنا الصليب</t>
    </r>
    <r>
      <rPr>
        <sz val="10"/>
        <rFont val="Arial"/>
        <family val="2"/>
      </rPr>
      <t xml:space="preserve">. </t>
    </r>
    <r>
      <rPr>
        <sz val="10"/>
        <rFont val="Lucida Sans"/>
        <family val="2"/>
      </rPr>
      <t xml:space="preserve">خلال هذه الرياضة سنعمّق، على ضوء الأناجيل، علاقتنا بيسوع فنكشف من جديد وبالروح القدس، في أعماق قلوبنا، علاقتنا الحميمة به وبالآب</t>
    </r>
    <r>
      <rPr>
        <sz val="10"/>
        <rFont val="Arial"/>
        <family val="2"/>
      </rPr>
      <t xml:space="preserve">. </t>
    </r>
    <r>
      <rPr>
        <sz val="10"/>
        <rFont val="Lucida Sans"/>
        <family val="2"/>
      </rPr>
      <t xml:space="preserve">سيكون هذا دربًا للتحرر الداخليّ، وسيكون يوحنا الصليب دليلنا الأمين فيه</t>
    </r>
    <r>
      <rPr>
        <sz val="10"/>
        <rFont val="Arial"/>
        <family val="2"/>
      </rPr>
      <t xml:space="preserve">. </t>
    </r>
    <r>
      <rPr>
        <sz val="10"/>
        <rFont val="Lucida Sans"/>
        <family val="2"/>
      </rPr>
      <t xml:space="preserve">سيعلّمنا ذلك، في عالم يزداد انعزالاً عن العالم الخارجي، أن نعيد اكتشاف أعماق قلوبنا، حيث يريد المسيح، عريس الكنيسة، أن يلتقي بنا ويطهِّرنا، حتّى نصبح معه أبناء الآب المحبوبين، في نور الروح القدس</t>
    </r>
    <r>
      <rPr>
        <sz val="10"/>
        <rFont val="Arial"/>
        <family val="2"/>
      </rPr>
      <t xml:space="preserve">.</t>
    </r>
  </si>
  <si>
    <t xml:space="preserve">Nós lhes propomos um retiro online na escola de São João da Cruz. Ao longo desse retiro, aprofundaremos nossa relação com Jesus à luz dos Evangelhos, a fim de encontrar, no Espírito Santo, nossa intimidade com Ele e com o Pai no mais profundo de nosso coração. Será um caminho de libertação interior, no qual João da Cruz será nosso guia seguro. Em um mundo de cada vez mais exterioridade, ele nos ensinará a encontrar nosso coração profundo, onde o Cristo, Esposo da Igreja, quer nos encontrar e nos purificar, para que com Ele nos tornemos os filhos bem-amados do Pai, no fogo do Espírito Santo.</t>
  </si>
  <si>
    <t xml:space="preserve">我们为您提供这些线上灵修退省，让我们一同进入圣十字若望灵修学校。在这个四旬期里，我们将在福音的光照下，深化与耶稣的关系，为能在圣神内，在我们心灵的最深处，重新寻获与祂及与天父的亲密关系。这将是一段内在自由的旅程，圣十字若望将成为我们可靠的向导。在一个日益外表化的世界里，他将教导我们重新寻回心灵的深度—在那里，教会的新郎基督渴望与我们相遇，并施行净化，好使我们在圣神的火焰中，成为天父所钟爱的子女。</t>
  </si>
  <si>
    <t xml:space="preserve">Vám nabízíme online duchovní cvičení ve škole svatého Jana od Kříže. Během těchto duchovních cvičení budeme ve světle evangelií prohlubovat náš vztah k Ježíši, abychom v Duchu svatém znovu nalezli důvěrný vztah s Ním a s Otcem v nejhlubším nitru svého srdce. Bude to cesta vnitřního osvobození, na které nám Jan od Kříže bude spolehlivým průvodcem. Bude nás učit, jak v tomto světě, který se stále víc orientuje „ven“, na povrch a vnější zdání, můžeme znovu najít své nejhlubší nitro, kde se s námi chce setkat Kristus, Ženich církve, a chce nás očistit, abychom se spolu s Ním stali milovanými dětmi Otce v ohni Ducha Svatého.</t>
  </si>
  <si>
    <t xml:space="preserve">Predlažemo vam online duhovnu obnovu u školi svetog Ivana od Križa. Tijekom ove duhovne obnove produbljivat ćemo, u svjetlu Evanđelja, naš odnos s Isusom kako bismo, u Duhu Svetom, ponovno otkrili svoju intimnost s Njim i s Ocem, u najdubljoj nutrini našega srca. Bit će to put unutarnjeg oslobođenja, na kojem će nam Ivan od Križa biti siguran vodič. On će nas, u svijetu sve više okrenutom vanjštini, poučiti kako ponovno pronaći dubinu vlastitoga srca, ondje gdje nas Krist, Zaručnik Crkve, želi susresti i pročistiti, kako bismo s Njime postali ljubljena djeca Očeva, u ognju Duha Svetoga.</t>
  </si>
  <si>
    <t xml:space="preserve">A lelkigyakorlat során az evangéliumok fényében mélyítjük el kapcsolatunkat Jézussal, hogy a Szentlélekben újra rátaláljunk a vele és az Atyával való bensőséges közösségre, szívünk legmélyén. Ez a belső felszabadulás útja lesz, amelyen Keresztes Szent János biztos vezetőnk. Megtanít bennünket arra, hogy egy egyre inkább kifelé forduló világban újra felfedezzük szívünk legmélyén, azt a helyet, ahol Krisztus, az Egyház Vőlegénye találkozni akar velünk és meg akar tisztítani bennünket, hogy vele együtt a Szentlélek tüzében az Atya szeretett gyermekeivé váljunk. Készüljünk együtt a húsvétra ezzel a lelkigyakorlattal.</t>
  </si>
  <si>
    <t xml:space="preserve">Nistednukom għal irtir online fl-iskola ta’ San Ġwann tas-Salib. Tul dan l-irtir, fid-dawl tal-Evanġelji, se nsaħħu u napprofondixxu r-relazzjoni tagħna ma’ Ġesù, biex fl-Ispirtu s-Santu nerġgħu nsibu l-intimità tagħna miegħu u mal-Missier, fil-post l-aktar profond ta’ qalbna. Dan l-irtir se jkun mixja ta’ ħelsien interjuri, fejn San Ġwann tas-Salib ikun il-gwida żgura tagħna. F’dinja dejjem aktar orjentata lejn barra, hu jgħallimna nerġgħu nsibu l-qalb profonda tagħna, hemmhekk fejn Kristu, l-Għarus tal-Knisja, jixtieq jiltaqa’ magħna u jippurifikana. F’din il-purifikazzjoni, fin-nar tal-Ispirtu s-Santu, inkunu nistgħu nsiru miegħu wlied maħbuba tal-Missier, skont il-qalb tiegħu.</t>
  </si>
  <si>
    <t xml:space="preserve">Wij nodigen u uit voor een online retraite in de geest van de heilige Johannes van het Kruis. Tijdens deze retraite verdiepen we, in het licht van het evangelie, onze relatie met Jezus, zodat we in de Heilige Geest de intimiteit met Hem en met de Vader in ons diepste hart mogen ontdekken. Het wordt een weg van innerlijke bevrijding, waarbij Johannes van het Kruis ons als betrouwbare gids begeleidt. In een wereld die steeds meer naar buiten gericht is, leert hij ons opnieuw ons innerlijk centrum te vinden, waar Christus, de Bruidegom van de Kerk, ons wil ontmoeten en zuiveren, opdat wij in het vuur van de Heilige Geest mogen leven als geliefde kinderen van de Vader. Na inschrijving ontvangt u wekelijks een e-mail met het zondagsevangelie, een bezinning voor de week en korte suggesties voor elke dag van de week. </t>
  </si>
  <si>
    <t xml:space="preserve">Vă propunem o reculegere online alături de acest mare Sfânt carmelitan. De-a lungul acestei reculegeri, vom aprofunda, în lumina Evangheliei, relația noastră cu Isus, pentru a regăsi, în Duhul Sfânt, intimitatea noastră cu El și cu Tatăl, în profunzimile inimii noastre. Va fi un drum de eliberare interioară pentru care Sfântul Ioan al Crucii va fi îndrumătorul nostru de încredere. Ne va învăța ca, într-o lume din ce în ce mai exteriorizată, să ne regăsim adâncul inimii, locul unde Cristos, Mirele Bisericii, vrea să ne întâlnească și să ne purifice, astfel încât, împreună cu el să devenim copiii preaiubiți ai Tatălui, prin focul Duhului Sfânt.</t>
  </si>
  <si>
    <t xml:space="preserve">Chúng tôi đề nghị với bạn một tĩnh tâm trên mạng theo trường phái của thánh Gio-an Thánh Giá. Trong suốt cuộc tĩnh tâm, với ánh sáng Tin Mừng, chúng ta sẽ đào sâu mối quan hệ của chúng ta với Chúa Giê-su để trong Chúa Thánh Thần, chúng ta tìm lại sự thân mật với Chúa Giê-su và với Chúa Cha, trong tận đáy lòng chúng ta. Đó sẽ là một con đường giải thoát nội tâm được Thánh Gio-an Thánh Giá hướng dẫn cách chắc chắn. Trong một thế giới càng ngày càng hướng ngoại, thánh nhân sẽ dạy chúng ta tìm lại đáy lòng chúng ta, nơi Chúa Ki-tô, Hôn phu của Giáo Hội, muốn gặp và thanh tẩy chúng ta, để cùng với Người chúng ta trở thành những người con yêu dấu của Chúa Cha, trong lửa Chúa Thánh Thần. </t>
  </si>
  <si>
    <t xml:space="preserve">../de/img/2026_lent_header_DE.png</t>
  </si>
  <si>
    <t xml:space="preserve">../es/img/2026_lent_header_ES.png</t>
  </si>
  <si>
    <t xml:space="preserve">../it/img/2026_lent_header_IT.png</t>
  </si>
  <si>
    <t xml:space="preserve">../en/img/2026_lent_header_EN.png</t>
  </si>
  <si>
    <t xml:space="preserve">../pl/img/2026_lent_header_PL.png</t>
  </si>
  <si>
    <t xml:space="preserve">../ar/img/2026_lent_header_AR.png</t>
  </si>
  <si>
    <t xml:space="preserve">../PT/img/2026_lent_header_PT.png</t>
  </si>
  <si>
    <t xml:space="preserve">../zh/img/2026_lent_header_ZH.png</t>
  </si>
  <si>
    <t xml:space="preserve">../cs/img/2026_lent_header_CS.png</t>
  </si>
  <si>
    <t xml:space="preserve">../hr/img/2026_lent_header_HR.png</t>
  </si>
  <si>
    <t xml:space="preserve">../hu/img/2026_lent_header_HU.png</t>
  </si>
  <si>
    <t xml:space="preserve">../mt/img/2026_lent_header_MT.png</t>
  </si>
  <si>
    <t xml:space="preserve">../nl/img/2026_lent_header_NL.png</t>
  </si>
  <si>
    <t xml:space="preserve">../ro/img/2026_lent_header_RO.png</t>
  </si>
  <si>
    <t xml:space="preserve">../vi/img/2026_lent_header_VI.png</t>
  </si>
  <si>
    <t xml:space="preserve">advent-2025-mirjam-von-jesus-dem-gekreuzigten</t>
  </si>
  <si>
    <t xml:space="preserve">2025_advent</t>
  </si>
  <si>
    <t xml:space="preserve">2025_adviento</t>
  </si>
  <si>
    <t xml:space="preserve">2025_avvento</t>
  </si>
  <si>
    <t xml:space="preserve">2025_adwent</t>
  </si>
  <si>
    <t xml:space="preserve">2025_zaman-al-maji</t>
  </si>
  <si>
    <t xml:space="preserve">2025_advento</t>
  </si>
  <si>
    <t xml:space="preserve">2025_jianglinqi</t>
  </si>
  <si>
    <t xml:space="preserve">2025_dosasce</t>
  </si>
  <si>
    <t xml:space="preserve">2025_avvent</t>
  </si>
  <si>
    <t xml:space="preserve">2025_mua-vong</t>
  </si>
  <si>
    <t xml:space="preserve">Heilige Mirjam von Jesus, dem Gekreuzigten</t>
  </si>
  <si>
    <t xml:space="preserve">2025-11-26</t>
  </si>
  <si>
    <t xml:space="preserve">2025-12-25</t>
  </si>
  <si>
    <t xml:space="preserve">X:\ALLGEMEIN\0900 Veröffentlichungen\Veröffentlichungen-aktuell\2025 Advent</t>
  </si>
  <si>
    <t xml:space="preserve">Advent 2025 mit der heiligen Mirjam von Jesus, dem Gekreuzigten</t>
  </si>
  <si>
    <t xml:space="preserve">Retiro online de Adviento Con Santa María de Jesús Crucificado Carmelita Descalza (1846-1878)</t>
  </si>
  <si>
    <t xml:space="preserve">Esercizi spiritualei online d'Avvento con Santa Mariam di Gesú Crocifisso</t>
  </si>
  <si>
    <t xml:space="preserve">Advent 2025 with St. Mariam of Jesus Crucified</t>
  </si>
  <si>
    <t xml:space="preserve">REKOLEKCJE ADWENTOWE ONLINE Świętą Mariam od Jezusa Ukrzyżowanego Karmelitanką Bosą (1846-1878)</t>
  </si>
  <si>
    <r>
      <rPr>
        <sz val="10"/>
        <rFont val="Lucida Sans"/>
        <family val="2"/>
      </rPr>
      <t xml:space="preserve">رياضة روحيّة عبر الإنترنت – زمن المجيء من </t>
    </r>
    <r>
      <rPr>
        <sz val="10"/>
        <rFont val="Arial"/>
        <family val="2"/>
      </rPr>
      <t xml:space="preserve">26 </t>
    </r>
    <r>
      <rPr>
        <sz val="10"/>
        <rFont val="Lucida Sans"/>
        <family val="2"/>
      </rPr>
      <t xml:space="preserve">تشرين الثاني حتى </t>
    </r>
    <r>
      <rPr>
        <sz val="10"/>
        <rFont val="Arial"/>
        <family val="2"/>
      </rPr>
      <t xml:space="preserve">25 </t>
    </r>
    <r>
      <rPr>
        <sz val="10"/>
        <rFont val="Lucida Sans"/>
        <family val="2"/>
      </rPr>
      <t xml:space="preserve">كانون الأوّل </t>
    </r>
    <r>
      <rPr>
        <sz val="10"/>
        <rFont val="Arial"/>
        <family val="2"/>
      </rPr>
      <t xml:space="preserve">2025  </t>
    </r>
    <r>
      <rPr>
        <sz val="10"/>
        <rFont val="Lucida Sans"/>
        <family val="2"/>
      </rPr>
      <t xml:space="preserve">مع القدّيسة مريم يسوع المصلوب الكرمليّة الحافية </t>
    </r>
    <r>
      <rPr>
        <sz val="10"/>
        <rFont val="Arial"/>
        <family val="2"/>
      </rPr>
      <t xml:space="preserve">(1846 – 1878)</t>
    </r>
  </si>
  <si>
    <t xml:space="preserve">Retiro online de Advento com Sta Miriam de Jesus Crucificado Carmelita Descalça (1846-1878)</t>
  </si>
  <si>
    <r>
      <rPr>
        <sz val="10"/>
        <rFont val="Microsoft YaHei"/>
        <family val="2"/>
      </rPr>
      <t xml:space="preserve">加尔默罗灵修退省活动 </t>
    </r>
    <r>
      <rPr>
        <sz val="10"/>
        <rFont val="Arial"/>
        <family val="2"/>
      </rPr>
      <t xml:space="preserve">2025</t>
    </r>
    <r>
      <rPr>
        <sz val="10"/>
        <rFont val="Microsoft YaHei"/>
        <family val="2"/>
      </rPr>
      <t xml:space="preserve">年将临期 </t>
    </r>
    <r>
      <rPr>
        <sz val="10"/>
        <rFont val="Arial"/>
        <family val="2"/>
      </rPr>
      <t xml:space="preserve">«</t>
    </r>
    <r>
      <rPr>
        <sz val="10"/>
        <rFont val="Microsoft YaHei"/>
        <family val="2"/>
      </rPr>
      <t xml:space="preserve">玛利安，或上主的贫苦者之路</t>
    </r>
    <r>
      <rPr>
        <sz val="10"/>
        <rFont val="Arial"/>
        <family val="2"/>
      </rPr>
      <t xml:space="preserve">» </t>
    </r>
    <r>
      <rPr>
        <sz val="10"/>
        <rFont val="Microsoft YaHei"/>
        <family val="2"/>
      </rPr>
      <t xml:space="preserve">与耶稣苦难圣玛利安同行</t>
    </r>
  </si>
  <si>
    <t xml:space="preserve">Marie od Ukřižovaného – cesta chudých Páně Online exercicie Advent 2025</t>
  </si>
  <si>
    <t xml:space="preserve">Došašće 2025. Online karmelske duhovne vježbe</t>
  </si>
  <si>
    <t xml:space="preserve">Online adventi lelkigyakorlat a Keresztre feszített Jézusról nevezett Szent Mirjam sarutlan kármelita szerzetes nővérrel (1846-1878)</t>
  </si>
  <si>
    <t xml:space="preserve">Irtir onlajn tal-Karmelitani Avvent 2025 Ma’ Santa Marjam ta' Ġesù Msallab</t>
  </si>
  <si>
    <t xml:space="preserve">Advent 2025 Online retraite: St. Mariam van de Gekruisigde Jesus</t>
  </si>
  <si>
    <t xml:space="preserve">Advent 2025 Reculegere spirituală carmelitană online împreună cu Sfânta Mariam a lui Isus Răstignit (1846-1878)</t>
  </si>
  <si>
    <t xml:space="preserve">Tĩnh tâm trên mạng trong mùa Vọng 2025 của dòng Cát-Minh Chân Trần</t>
  </si>
  <si>
    <t xml:space="preserve">Mariam ou la voie des pauvres du Seigneur</t>
  </si>
  <si>
    <t xml:space="preserve">Mariam oder der Weg der Armen des Herrn</t>
  </si>
  <si>
    <t xml:space="preserve">Mariam o el camino de los pobres del Señor</t>
  </si>
  <si>
    <t xml:space="preserve">« Mariam o la via dei poveri del Signore»</t>
  </si>
  <si>
    <t xml:space="preserve">Mariam, or the Way of the Lord's Poor</t>
  </si>
  <si>
    <t xml:space="preserve">„Mariam, czyli droga ubogich Pana”</t>
  </si>
  <si>
    <t xml:space="preserve">مريم أو درب فقراء الربّ</t>
  </si>
  <si>
    <t xml:space="preserve">«Miriam ou o caminho dos pobres do Senhor»</t>
  </si>
  <si>
    <r>
      <rPr>
        <sz val="10"/>
        <rFont val="Arial"/>
        <family val="2"/>
      </rPr>
      <t xml:space="preserve">«</t>
    </r>
    <r>
      <rPr>
        <sz val="10"/>
        <rFont val="Microsoft YaHei"/>
        <family val="2"/>
      </rPr>
      <t xml:space="preserve">玛利安，或上主的贫苦者之路</t>
    </r>
    <r>
      <rPr>
        <sz val="10"/>
        <rFont val="Arial"/>
        <family val="2"/>
      </rPr>
      <t xml:space="preserve">»</t>
    </r>
  </si>
  <si>
    <t xml:space="preserve">Marie od Ukřižovaného – cesta chudých Páně</t>
  </si>
  <si>
    <t xml:space="preserve">"Mirjam - put siromaha Gospodnjih"</t>
  </si>
  <si>
    <t xml:space="preserve">« Mirjam, avagy az Úr szegényeinek útja »</t>
  </si>
  <si>
    <t xml:space="preserve">"Marjam, jew it-Triq tal-Foqra tal-Mulej"</t>
  </si>
  <si>
    <t xml:space="preserve">“De weg van de armen van de Heer”</t>
  </si>
  <si>
    <t xml:space="preserve">„Mariam sau calea săracilor Domnului”</t>
  </si>
  <si>
    <t xml:space="preserve">Cùng bước với Ma-ri-am</t>
  </si>
  <si>
    <t xml:space="preserve">Die heilige Maria von Jesus, dem Gekreuzigten (1846-1878), die „kleine Araberin“, geboren im Heiligen Land, Analphabetin und demütige Karmelitin, gründete dennoch mehrere Karmelklöster im Orient und in Indien. Ihr schlichtes Leben im Glanz der Heiligkeit, geführt vom Heiligen Geist, lädt uns ein, uns von Jesus lieben und verwandeln zu lassen …</t>
  </si>
  <si>
    <t xml:space="preserve">Santa María de Jesús Crucificado (1846-1878), la « Arabita», nacida en Tierra Santa, humilde carmelita analfabeta, fundó sin embargo varios Carmelos en Oriente y en la India. Su vida sencilla y luminosa, guiada por el Espíritu Santo, nos invita a dejarnos amar y transformar por Jesús... </t>
  </si>
  <si>
    <t xml:space="preserve">Santa Mariam di Gesù Crocifisso (1846-1878), la “piccola araba”, nata in Terra Santa, umile carmelitana illetterata, ha fondato alcuni Carmeli in Israele e in India. La sua vita semplice e luminosa, guidata dallo Spirito Santo, ci invita a farci amare e trasformare da Gesù…</t>
  </si>
  <si>
    <t xml:space="preserve">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t>
  </si>
  <si>
    <t xml:space="preserve">Święta Mariam od Jezusa Ukrzyżowanego (1846-1878), zwana „Małą Arabką”, urodzona w Ziemi Świętej, była pokorną niepiśmienną karmelitanką bosą. Założyła jednak kilka klasztorów karmelitańskich na Bliskim Wschodzie i w Indiach. Jej proste i pełne światła życie, kierowane przez Ducha Świętego, zachęca nas, abyśmy pozwolili Jezusowi nas kochać i przemieniać...</t>
  </si>
  <si>
    <r>
      <rPr>
        <sz val="10"/>
        <rFont val="Lucida Sans"/>
        <family val="2"/>
      </rPr>
      <t xml:space="preserve">القدّيسة مريم يسوع المصلوب </t>
    </r>
    <r>
      <rPr>
        <sz val="10"/>
        <rFont val="Arial"/>
        <family val="2"/>
      </rPr>
      <t xml:space="preserve">(1846 – 1878)</t>
    </r>
    <r>
      <rPr>
        <sz val="10"/>
        <rFont val="Lucida Sans"/>
        <family val="2"/>
      </rPr>
      <t xml:space="preserve">، الملقّبة بـ </t>
    </r>
    <r>
      <rPr>
        <sz val="10"/>
        <rFont val="Arial"/>
        <family val="2"/>
      </rPr>
      <t xml:space="preserve">«</t>
    </r>
    <r>
      <rPr>
        <sz val="10"/>
        <rFont val="Lucida Sans"/>
        <family val="2"/>
      </rPr>
      <t xml:space="preserve">العربيّة الصغيرة</t>
    </r>
    <r>
      <rPr>
        <sz val="10"/>
        <rFont val="Arial"/>
        <family val="2"/>
      </rPr>
      <t xml:space="preserve">»</t>
    </r>
    <r>
      <rPr>
        <sz val="10"/>
        <rFont val="Lucida Sans"/>
        <family val="2"/>
      </rPr>
      <t xml:space="preserve">، وُلدت في الأرض المقدّسة، وبرغم تواضعها وأميّتها، أسّست عدّة أديرة للكرمل في الشرق والهند</t>
    </r>
    <r>
      <rPr>
        <sz val="10"/>
        <rFont val="Arial"/>
        <family val="2"/>
      </rPr>
      <t xml:space="preserve">. </t>
    </r>
    <r>
      <rPr>
        <sz val="10"/>
        <rFont val="Lucida Sans"/>
        <family val="2"/>
      </rPr>
      <t xml:space="preserve">إنّ حياتها البسيطة والمضيئة، الّتي قادها الروح القدس، تدعونا إلى أن نسلّم ذواتنا لمحبّة يسوع كي يحوّلنا</t>
    </r>
    <r>
      <rPr>
        <sz val="10"/>
        <rFont val="Arial"/>
        <family val="2"/>
      </rPr>
      <t xml:space="preserve">...</t>
    </r>
  </si>
  <si>
    <t xml:space="preserve">Santa Maria (Miriam) de Jesus Crucificado (1846-1878), a «pequena árabe», nascida na Terra Santa, humilde carme lita, analfabeta, fundou vários Carmelos no Oriente e na Índia. A sua vida simples e luminosa, guiada pelo Espírito Santo, convida-nos a deixar-nos amar e transformar por Jesus...</t>
  </si>
  <si>
    <r>
      <rPr>
        <sz val="10"/>
        <rFont val="Microsoft YaHei"/>
        <family val="2"/>
      </rPr>
      <t xml:space="preserve">今年将陪伴我们度过将临期、走向圣诞的是圣女耶稣苦难玛利安（</t>
    </r>
    <r>
      <rPr>
        <sz val="10"/>
        <rFont val="Arial"/>
        <family val="2"/>
      </rPr>
      <t xml:space="preserve">St. Mariam of Jesus Crucified</t>
    </r>
    <r>
      <rPr>
        <sz val="10"/>
        <rFont val="Microsoft YaHei"/>
        <family val="2"/>
      </rPr>
      <t xml:space="preserve">，原名</t>
    </r>
    <r>
      <rPr>
        <sz val="10"/>
        <rFont val="Arial"/>
        <family val="2"/>
      </rPr>
      <t xml:space="preserve">Mariam Baouardy</t>
    </r>
    <r>
      <rPr>
        <sz val="10"/>
        <rFont val="Microsoft YaHei"/>
        <family val="2"/>
      </rPr>
      <t xml:space="preserve">），玛丽安包迪，这位出生于巴勒斯坦的“小阿拉伯人”。圣玛利安（</t>
    </r>
    <r>
      <rPr>
        <sz val="10"/>
        <rFont val="Arial"/>
        <family val="2"/>
      </rPr>
      <t xml:space="preserve">1846-1878</t>
    </r>
    <r>
      <rPr>
        <sz val="10"/>
        <rFont val="Microsoft YaHei"/>
        <family val="2"/>
      </rPr>
      <t xml:space="preserve">）是一位不识字的谦卑加尔默罗会修女，曾在以色列和印度创立了数座加尔默罗会隐修院。她简单而光辉的一生，充满了圣神的指引，她邀请我们体验被耶稣所爱并被祂转变……</t>
    </r>
  </si>
  <si>
    <t xml:space="preserve">Zveme vás ke karmelským adventním exerciciím. Letos jsme slavili 150. výročí založení kláštera karmelitek v Betlémě. A tak bude tento advent naší průvodkyní zakladatelka tohoto kláštera – svatá Marie od Ukřižovaného, „Malá Arabka“, narozená ve Svaté zemi, pokorná karmelitánka, která neuměla číst a psát, založila několik karmelitánských klášterů na Východě a v Indii.</t>
  </si>
  <si>
    <t xml:space="preserve">Sveta Mirjam od Krista Raspetoga (1846.–1878.), „mala Arapkinja“, rođena u Svetoj zemlji, ponizna i nepismena karmelićanka, osnovala je nekoliko karmelskih samostana u Izraelu i Indiji. Njezin jednostavan i svjetlom ispunjen život, vođen Duhom Svetim, poziva nas da dopustimo Isusu da nas ljubi i preobražava…</t>
  </si>
  <si>
    <t xml:space="preserve">A Magyar Sarutlan Kármelita Delegáció és a Világban Élő Kármeliták arra hívják Önt, hogy ebben az adventi időszakban engedje meg, hogy a Keresztre feszített Jézusról nevezett Szent Mirjam kísérje Önt. A „kis arab lány”, aki a Szentföldön született, alázatos és írástudatlan kármelita volt, mégis több kármelita kolostort alapított a Közel-Keleten és Indiában. Egyszerű élete a szentség fényében, a Szentlélek vezetése alatt arra hív bennünket,hogy hagyjuk magunkat Jézus által szeretni és átformálni.</t>
  </si>
  <si>
    <t xml:space="preserve">Din is-sena, Santa Marjam (Baouardy) ta' Ġesù Msallab, l-"Għarbija ċkejkna" imwielda fil-Palestina, se tiggwidana fil-vjaġġ tal-Avvent tagħna lejn il-Milied. Santa Marjam (1846-1878), Karmelitana umli li tgħallmet taqra u tikteb bħala adulta, waqqfet monasteri Karmelitani fl-Indja u l-Art Imqaddsa. Il-ħajja sempliċi u radjanti tagħha, immexxija mill-Ispirtu s-Santu, tistiedinna nħallu lilna nfusna ninħabbu u nitbiddlu minn Ġesù...</t>
  </si>
  <si>
    <t xml:space="preserve">Dit jaar zal een kleine heilige karmelietes geboren in het land van Jezus, heilige Mariam van de Gekruisigde Jezus, ons vergezellen. Tien jaar geleden, op 17 mei 2015, werd ze namelijk heilig verklaard door paus Franciscus. Haar hele leven is een Woord van God. De boodschap die Mariam ons nalaat, met haar zeer beeldende taal die ons dichter bij de Bijbel brengt, is een oproep voor ons, om te leren ons te laten liefhebben door Jezus en ons te laten leiden door de Heilige Geest in een wereld waar alle waarden instorten, waardoor ruimte komt voor een gevoel van onveiligheid. Mariam van de Gekruisigde Jezus combineert nederigheid en armoede met verbluffende bovennatuurlijke en mystieke ervaringen. Deze tegenstellingen worden beleefd in een hart dat volledig is overgeleverd aan de liefde van God, in een totale gehoorzaamheid aan zijn wil, een maagdelijk en transparant hart voor de genade van God, beschikbaar voor de werking van de Geest, die haar geleidelijk configureert tot de Gekruisigde Jezus wiens naam zij draagt.</t>
  </si>
  <si>
    <t xml:space="preserve">Anul acesta, Sfânta Mariam (Bouarday) a lui Isus Răstignit, „mica arabă” născută în Palestina, ne va însoți în călătoria noastră de Advent către Crăciun. Sfânta Mariam (1846-1878), o călugăriță carmelitană umilă și analfabetă, a fondat mai multe mănăstiri carmelitane în Israel și India. </t>
  </si>
  <si>
    <t xml:space="preserve">Nếu bạn đăng ký theo mẫu dưới đây, bạn sẽ nhận một e-mail miễn phí mỗi thứ sáu: bạn sẽ có thể nhận bản văn dưới dạng pdf. Nội dung suy niệm xu61t phát từ các bài đọc chúa nhật để giúp bạn học với thánh Ma-ri-am . Một lịch mùa Vọng sẽ cũng giúp bạn được nuôi dưỡng hằng ngày, từ thứ hai đến thứ bảy.</t>
  </si>
  <si>
    <t xml:space="preserve">../de/img/AD25_header_DE.png</t>
  </si>
  <si>
    <t xml:space="preserve">../es/img/2025_advent_header_ES.png</t>
  </si>
  <si>
    <t xml:space="preserve">../it/img/2025_advent_header_IT.jpg</t>
  </si>
  <si>
    <t xml:space="preserve">../en/img/2025_advent_header_EN.png</t>
  </si>
  <si>
    <t xml:space="preserve">../pl/img/2025_advent_header_PL.png</t>
  </si>
  <si>
    <t xml:space="preserve">../ar/img/2025_advent_header_AR.png</t>
  </si>
  <si>
    <t xml:space="preserve">../pt/img/2025_advent_header_PT.png</t>
  </si>
  <si>
    <t xml:space="preserve">../zh/img/2025_advent_header_ZH.jpg</t>
  </si>
  <si>
    <t xml:space="preserve">../cs/img/2025_advent_header_CS.jpg</t>
  </si>
  <si>
    <t xml:space="preserve">../hr/img/2025_advent_header_HR.jpg</t>
  </si>
  <si>
    <t xml:space="preserve">../hu/img/2025_advent_header_HU.jpg</t>
  </si>
  <si>
    <t xml:space="preserve">../mt/img/2025_advent_header_MT.jpg</t>
  </si>
  <si>
    <t xml:space="preserve">../nl/img/2025_advent_header_NL.png</t>
  </si>
  <si>
    <t xml:space="preserve">../ro/img/2025_advent_header_RO.jpg</t>
  </si>
  <si>
    <t xml:space="preserve">../vi/img/2025_advent_header_VI.jpg</t>
  </si>
  <si>
    <t xml:space="preserve">lent-2025-therese-von-lisieux</t>
  </si>
  <si>
    <t xml:space="preserve">https://retraites.carmes-paris.org/careme-2025/careme-2025-st-jean-de-la-croix/</t>
  </si>
  <si>
    <t xml:space="preserve">2025_fastenzeit</t>
  </si>
  <si>
    <t xml:space="preserve">2025_cuaresma</t>
  </si>
  <si>
    <t xml:space="preserve">2025_quaresima</t>
  </si>
  <si>
    <t xml:space="preserve">2025_lent</t>
  </si>
  <si>
    <t xml:space="preserve">2025_wielki-post</t>
  </si>
  <si>
    <t xml:space="preserve">2025_al-sawm-al-kabir</t>
  </si>
  <si>
    <t xml:space="preserve">2025_quaresma</t>
  </si>
  <si>
    <t xml:space="preserve">2025_sixunqi</t>
  </si>
  <si>
    <t xml:space="preserve">2025_pust</t>
  </si>
  <si>
    <t xml:space="preserve">2025_korizma</t>
  </si>
  <si>
    <t xml:space="preserve">2025_nagybojt</t>
  </si>
  <si>
    <t xml:space="preserve">2025_randan</t>
  </si>
  <si>
    <t xml:space="preserve">2025_vastentijd</t>
  </si>
  <si>
    <t xml:space="preserve">2025_postul-mare</t>
  </si>
  <si>
    <t xml:space="preserve">2025_mua-chay</t>
  </si>
  <si>
    <t xml:space="preserve">Heilige Thérèse von Lisieux</t>
  </si>
  <si>
    <t xml:space="preserve">2025-03-05</t>
  </si>
  <si>
    <t xml:space="preserve">2025-04-27</t>
  </si>
  <si>
    <t xml:space="preserve">X:\ALLGEMEIN\0900 Veröffentlichungen\Veröffentlichungen-aktuell\2025 Fasten</t>
  </si>
  <si>
    <t xml:space="preserve">Carême 2025</t>
  </si>
  <si>
    <t xml:space="preserve">Fastenzeit 2025 mit Thérèse von Lisieux und das Östergeheimnis</t>
  </si>
  <si>
    <t xml:space="preserve">Esercizi spirituali online per la Quaresima 2025 con Santa Teresina di Lisieux</t>
  </si>
  <si>
    <r>
      <rPr>
        <sz val="10"/>
        <rFont val="Arial"/>
        <family val="2"/>
      </rPr>
      <t xml:space="preserve">2025</t>
    </r>
    <r>
      <rPr>
        <sz val="10"/>
        <rFont val="Microsoft YaHei"/>
        <family val="2"/>
      </rPr>
      <t xml:space="preserve">年四旬期在线灵修由赤足加尔默罗会及其出版社主办</t>
    </r>
  </si>
  <si>
    <t xml:space="preserve">Thérèse de Lisieux et le mystère pascal</t>
  </si>
  <si>
    <t xml:space="preserve">„Aus Liebe sterben, das ist meine Hoffnung“</t>
  </si>
  <si>
    <t xml:space="preserve">Teresa di Lisieux e il mistero pasquale</t>
  </si>
  <si>
    <t xml:space="preserve">里修德兰与复活节的奥秘与里修德圣女小德兰一起</t>
  </si>
  <si>
    <t xml:space="preserve">Die heilige Thérèse von Lisieux wird uns in sechs Schritten zur Osterfreude führen: 
-   1. Sonntag: „Selig jener, der würdig erachtet wurde, Anfechtung zu erleiden!“ 
-   2. Sonntag: „O [Heiliges] Antlitz, schöner als die Lilien und Rosen im Frühling!“ 
-   3. Sonntag: „Ich fühlte ein großes Verlangen, für die Bekehrung der Sünder zu arbeiten“
 -   4. Sonntag: „Hätte ich auch alle begehbaren Sünden auf dem Gewissen ...“ 
-   5. Sonntag: „Eine arme Sünderin wie ich“ 
-   Karwoche: „Schau Jesus ins Antlitz ... Da wirst du sehen, wie er uns liebt!“ 
-   Ostern: „Dies ist mein Himmel ... dies ist meine Bestimmung: Leben aus Liebe!!!...“ Jeden Freitag erhalten Sie eine E-Mail-Nachricht: Dort können Sie den Text herunterladen (in drei Formaten: PDF, Word, PDF im Handyformat) oder die Audio-Version als Podcast anhören. Der Inhalt der Betrachtung wird vom Sonntagsevangelium ausgehen und uns in die Schule der heiligen Thérèse von Lisieux führen. Ein Fastenkalender (Zitate und Bilder) wird Sie außerdem jeden Tag, von Montag bis Samstag, durch geistliche Impulse inspirieren.</t>
  </si>
  <si>
    <t xml:space="preserve">I Carmelitani Scalzi e le Edizioni OCD vi invitano a lasciarvi accompagnare durante questa Quaresima da S. Teresina di Lisieux - Teresa del Volto Santo, Teresa davanti al Mistero Pasquale. In questo anno giubilare 2025 celebreremo il centenario della sua canonizzazione (17 maggio). Rispondiamo con gioia all'invito di Papa Francesco a essere pellegrini della speranza.</t>
  </si>
  <si>
    <t xml:space="preserve">赤足加尔默罗会和加尔默罗出版社邀请您在这个四旬期期间，让里修的圣女小德兰</t>
  </si>
  <si>
    <t xml:space="preserve">../img/FS25_header_FR.png</t>
  </si>
  <si>
    <t xml:space="preserve">../de/img/FS25_header_DE.png</t>
  </si>
  <si>
    <t xml:space="preserve">../es/img/FS25_header_ES.png</t>
  </si>
  <si>
    <t xml:space="preserve">../it/img/2025_lent_header_IT.png</t>
  </si>
  <si>
    <t xml:space="preserve">../img/FS25_header_EN.png</t>
  </si>
  <si>
    <t xml:space="preserve">../img/FS25_header_PL.png</t>
  </si>
  <si>
    <t xml:space="preserve">../img/FS25_header_AR.png</t>
  </si>
  <si>
    <t xml:space="preserve">../img/FS25_header_PT.png</t>
  </si>
  <si>
    <t xml:space="preserve">../zh/img/2025_lent_header_ZH.png</t>
  </si>
  <si>
    <t xml:space="preserve">../img/FS25_header_CS.png</t>
  </si>
  <si>
    <t xml:space="preserve">../img/FS25_header_HR.png</t>
  </si>
  <si>
    <t xml:space="preserve">../img/FS25_header_HU.png</t>
  </si>
  <si>
    <t xml:space="preserve">../img/FS25_header_MT.png</t>
  </si>
  <si>
    <t xml:space="preserve">../img/FS25_header_NL.png</t>
  </si>
  <si>
    <t xml:space="preserve">../img/FS25_header_RO.png</t>
  </si>
  <si>
    <t xml:space="preserve">../img/FS25_header_VI.png</t>
  </si>
  <si>
    <t xml:space="preserve">advent-2024-therese-von-lisieux</t>
  </si>
  <si>
    <t xml:space="preserve">2024_advent</t>
  </si>
  <si>
    <t xml:space="preserve">2024_adviento</t>
  </si>
  <si>
    <t xml:space="preserve">2024_avvento</t>
  </si>
  <si>
    <t xml:space="preserve">2024_adwent</t>
  </si>
  <si>
    <t xml:space="preserve">2024_zaman-al-maji</t>
  </si>
  <si>
    <t xml:space="preserve">2024_advento</t>
  </si>
  <si>
    <t xml:space="preserve">2024_jianglinqi</t>
  </si>
  <si>
    <t xml:space="preserve">2024_dosasce</t>
  </si>
  <si>
    <t xml:space="preserve">2024_avvent</t>
  </si>
  <si>
    <t xml:space="preserve">2024_mua-vong</t>
  </si>
  <si>
    <t xml:space="preserve">2024-11-27</t>
  </si>
  <si>
    <t xml:space="preserve">2025-01-05</t>
  </si>
  <si>
    <t xml:space="preserve">X:\ALLGEMEIN\0900 Veröffentlichungen\Veröffentlichungen-aktuell\2024 Advent</t>
  </si>
  <si>
    <t xml:space="preserve">Avent 2024</t>
  </si>
  <si>
    <t xml:space="preserve">Advent 2024 mit der Hl. Thérèse vom Kind Jesu</t>
  </si>
  <si>
    <t xml:space="preserve">Esercizi spirituali online per l'Avvento 2024 con S.ta Teresina di Lisieux</t>
  </si>
  <si>
    <t xml:space="preserve">« Accueillir Dieu comme des enfants » avec Thérèse de Lisieux</t>
  </si>
  <si>
    <t xml:space="preserve">„Kind sein vor Gott“</t>
  </si>
  <si>
    <t xml:space="preserve">Accogliere Dio come bambini</t>
  </si>
  <si>
    <t xml:space="preserve">Diese Online-Exerzitien wollen in den Geist und das Gebet der Jüngsten unter allen Kirchenlehrern einführen, deren Geburtstag sich letztes Jahr zum 150. Mal jährte: die hl. Thérèse vom Kinde Jesus (von Lisieux). Wir werden dies tun, indem wir uns in erster Linie auf die Schriften der Heiligen stützen, die uns ein umfangreiches schriftliches Werk hinterlassen hat. Doch diese erklären nicht alles. Thérèses fulminante Berufung kann nur vor dem Hintergrund des unergründlichen Geheimnisses, von dem ihr ganzes Leben Zeugnis ablegt, vollständig verstanden werden: dem der göttlichen Barmherzigkeit.</t>
  </si>
  <si>
    <t xml:space="preserve">Questo ritiro online vuole aiutarvi a entrare nello spirito e nella preghiera del più giovane Dottore della Chiesa, di cui l'anno scorso abbiamo celebrato il 150° compleanno. Lo faremo soprattutto attingendo agli scritti della santa, che ci ha lasciato un'abbondante opera scritta. Ma questo non spiega tutto. Il destino folgorante di Thérèse può essere pienamente compreso solo alla luce del Mistero insondabile di cui tutta la sua vita è testimone: quello della Divina Misericordia.</t>
  </si>
  <si>
    <t xml:space="preserve">../img/AD24_header_FR.png</t>
  </si>
  <si>
    <t xml:space="preserve">../de/img/AD24_header_DE.png</t>
  </si>
  <si>
    <t xml:space="preserve">../img/AD24_header_ES.png</t>
  </si>
  <si>
    <t xml:space="preserve">../it/img/2024_advent_header_IT.png</t>
  </si>
  <si>
    <t xml:space="preserve">../img/AD24_header_EN.png</t>
  </si>
  <si>
    <t xml:space="preserve">../img/AD24_header_PL.png</t>
  </si>
  <si>
    <t xml:space="preserve">../img/AD24_header_AR.png</t>
  </si>
  <si>
    <t xml:space="preserve">../img/AD24_header_PT.png</t>
  </si>
  <si>
    <t xml:space="preserve">../img/AD24_header_ZH.png</t>
  </si>
  <si>
    <t xml:space="preserve">../img/AD24_header_CS.png</t>
  </si>
  <si>
    <t xml:space="preserve">../img/AD24_header_HR.png</t>
  </si>
  <si>
    <t xml:space="preserve">../img/AD24_header_HU.png</t>
  </si>
  <si>
    <t xml:space="preserve">../img/AD24_header_MT.png</t>
  </si>
  <si>
    <t xml:space="preserve">../img/AD24_header_NL.png</t>
  </si>
  <si>
    <t xml:space="preserve">../img/AD24_header_RO.png</t>
  </si>
  <si>
    <t xml:space="preserve">../img/AD24_header_VI.png</t>
  </si>
  <si>
    <t xml:space="preserve">lent-2024-pater-jacques-de-jesus</t>
  </si>
  <si>
    <t xml:space="preserve">https://retraites.carmes-paris.org/careme-2024/careme-2024-st-jean-de-la-croix/</t>
  </si>
  <si>
    <t xml:space="preserve">2024_fastenzeit</t>
  </si>
  <si>
    <t xml:space="preserve">2024_cuaresma</t>
  </si>
  <si>
    <t xml:space="preserve">2024_quaresima</t>
  </si>
  <si>
    <t xml:space="preserve">2024_lent</t>
  </si>
  <si>
    <t xml:space="preserve">2024_wielki-post</t>
  </si>
  <si>
    <t xml:space="preserve">2024_al-sawm-al-kabir</t>
  </si>
  <si>
    <t xml:space="preserve">2024_quaresma</t>
  </si>
  <si>
    <t xml:space="preserve">2024_sixunqi</t>
  </si>
  <si>
    <t xml:space="preserve">2024_pust</t>
  </si>
  <si>
    <t xml:space="preserve">2024_korizma</t>
  </si>
  <si>
    <t xml:space="preserve">2024_nagybojt</t>
  </si>
  <si>
    <t xml:space="preserve">2024_randan</t>
  </si>
  <si>
    <t xml:space="preserve">2024_vastentijd</t>
  </si>
  <si>
    <t xml:space="preserve">2024_postul-mare</t>
  </si>
  <si>
    <t xml:space="preserve">2024_mua-chay</t>
  </si>
  <si>
    <t xml:space="preserve">Pater Jacques von Jesus</t>
  </si>
  <si>
    <t xml:space="preserve">2024-02-14</t>
  </si>
  <si>
    <t xml:space="preserve">2024-04-07</t>
  </si>
  <si>
    <t xml:space="preserve">X:\ALLGEMEIN\0900 Veröffentlichungen\Veröffentlichungen-aktuell\2024 Fasten</t>
  </si>
  <si>
    <t xml:space="preserve">Carême 2024</t>
  </si>
  <si>
    <t xml:space="preserve">Fastenzeit 2024 mit Pater Jacuqes von Jesus (1900-1945)</t>
  </si>
  <si>
    <t xml:space="preserve">Cuaresma 2024 Con el Padre Jacobo de Jesús (Lucien Bunel)</t>
  </si>
  <si>
    <t xml:space="preserve">La Quaresima 2024 con p. Jacques di Gesù (1900-1945)</t>
  </si>
  <si>
    <t xml:space="preserve">Par la croix vers la lumière avec le Père Jacques de Jésus (1900-1945)</t>
  </si>
  <si>
    <t xml:space="preserve">Durch das Kreuz zum Licht</t>
  </si>
  <si>
    <t xml:space="preserve">Por la Cruz a la Luz</t>
  </si>
  <si>
    <t xml:space="preserve">Attraverso la croce verso la luce</t>
  </si>
  <si>
    <t xml:space="preserve">„Durch das Kreuz zum Licht“: So lautet der Anfang der Worte, die Pater Jacques von Jesus im März 1945 im Konzentrationslager Gusen (Österreich) mit Bleistift in ein Notizbuch kritzelte. Sie haben den Wert eines geistlichen Testaments. Dieser bemerkenswerte Erzieher, der im Januar 1944 im Karmeliterkloster von Avon von der Gestapo verhaftet worden war (ein Vorfall, der in dem Film „Auf Wiedersehen, Kinder“  von Louis Malle aufgegriffen wird) und dessen Seligsprechungsprozess im Gange ist, wird uns einen wirkkräftigen Fastenweg aufzeigen, um dem Licht Christi entgegenzugehen.</t>
  </si>
  <si>
    <t xml:space="preserve">¡Prepárate para la Cuaresma junto con los Carmelitas Descalzos "Por la Cruz a la Luz": en marzo de 1945, en el campo de concentración de Gusen, el Padre Jacobo de Jésus garabateó a lápiz estas primeras palabras convertidas en testamento espiritual. Detenido por la Gestapo en enero de 1944 en el convento de los Carmelitas de Avon (escena evocada en la película de Louis Malle "Adios, muchachos"), este destacado educador, cuyo proceso de beatificación está actualmente en curso, nos abrirá un vigoroso sendero cuaresmal para caminar hacia la luz de Cristo.</t>
  </si>
  <si>
    <t xml:space="preserve">«Attraverso la Croce verso la Luce»: nel marzo 1945, nel campo di concentramento di Gusen, padre Jacques di Gesù scarabocchia a matita su della carta queste prime parole che valgono come un testamento spirituale. Arrestato dalla Gespapo nel gennaio 1944, nel convento carmelitano di Avon (Francia), scena poi evocata nel film Arrivederci ragazzi di Louis Malle, questo educatore eccezionale, di cui è in corso la causa di beatifcazione, ci aprirà un vigoroso cammino di quaresima per camminare verso la luce di Cristo.</t>
  </si>
  <si>
    <t xml:space="preserve">../img/2024_lent_header_FR.png</t>
  </si>
  <si>
    <t xml:space="preserve">../de/img/2024_lent_header_DE.png</t>
  </si>
  <si>
    <t xml:space="preserve">../es/img/2024_lent_header_ES.png</t>
  </si>
  <si>
    <t xml:space="preserve">../it/img/2024_lent_header_IT.png</t>
  </si>
  <si>
    <t xml:space="preserve">../en/img/2024_lent_header_EN.png</t>
  </si>
  <si>
    <t xml:space="preserve">../img/2024_lent_header_PL.png</t>
  </si>
  <si>
    <t xml:space="preserve">../ar/img/2024_lent_header_AR.png</t>
  </si>
  <si>
    <t xml:space="preserve">../img/2024_lent_header_PT.png</t>
  </si>
  <si>
    <t xml:space="preserve">../img/2024_lent_header_ZH.png</t>
  </si>
  <si>
    <t xml:space="preserve">../img/2024_lent_header_CS.png</t>
  </si>
  <si>
    <t xml:space="preserve">../img/2024_lent_header_HR.png</t>
  </si>
  <si>
    <t xml:space="preserve">../img/2024_lent_header_HU.png</t>
  </si>
  <si>
    <t xml:space="preserve">../img/2024_lent_header_MT.png</t>
  </si>
  <si>
    <t xml:space="preserve">../img/2024_lent_header_NL.png</t>
  </si>
  <si>
    <t xml:space="preserve">../img/2024_lent_header_RO.png</t>
  </si>
  <si>
    <t xml:space="preserve">../img/2024_lent_header_VI.png</t>
  </si>
  <si>
    <t xml:space="preserve">advent-2023-teresa-de-los-andes</t>
  </si>
  <si>
    <t xml:space="preserve">2023_advent</t>
  </si>
  <si>
    <t xml:space="preserve">2023_adviento</t>
  </si>
  <si>
    <t xml:space="preserve">2023_avvento</t>
  </si>
  <si>
    <t xml:space="preserve">2023_adwent</t>
  </si>
  <si>
    <t xml:space="preserve">2023_zaman-al-maji</t>
  </si>
  <si>
    <t xml:space="preserve">2023_advento</t>
  </si>
  <si>
    <t xml:space="preserve">2023_jianglinqi</t>
  </si>
  <si>
    <t xml:space="preserve">2023_dosasce</t>
  </si>
  <si>
    <t xml:space="preserve">2023_avvent</t>
  </si>
  <si>
    <t xml:space="preserve">2023_mua-vong</t>
  </si>
  <si>
    <t xml:space="preserve">Heilige Teresa de Los Andes</t>
  </si>
  <si>
    <t xml:space="preserve">2023-11-29</t>
  </si>
  <si>
    <t xml:space="preserve">2023-12-25</t>
  </si>
  <si>
    <t xml:space="preserve">X:\ALLGEMEIN\0900 Veröffentlichungen\Veröffentlichungen-aktuell\2023 Advent</t>
  </si>
  <si>
    <t xml:space="preserve">Avent 2023</t>
  </si>
  <si>
    <t xml:space="preserve">Advent 2023 mit der heiligen Teresa de Los Andes (1900-1920)</t>
  </si>
  <si>
    <t xml:space="preserve">L’Avvento 2023 con S. Teresa di Los Andes</t>
  </si>
  <si>
    <t xml:space="preserve">S’enraciner dans la Joie Divine avec Ste Thérèse des Andes (1900-1920)</t>
  </si>
  <si>
    <t xml:space="preserve">Leben in der Göttlichen Freude</t>
  </si>
  <si>
    <t xml:space="preserve">Radicarsi nella gioia di Dio</t>
  </si>
  <si>
    <t xml:space="preserve">„Gott ist unendliche Freude." Dieser berühmte Ausspruch der heiligen Teresa de Los Andes (1900-1920), der ersten Chilenin, die heiliggesprochen wurde, ist das Leitmotiv für diese Exerzitien im Advent 2023: Ja, Gott ist sehr viel liebenswürdiger, schöner und liebevoller als wir im Allgemeinen denken! Teresa wird uns dies erkennen lassen, indem sie uns das Beispiel einer liebenswürdigen Heiligkeit vor Augen führt und uns leicht verständliche Ratschläge gibt, damit auch wir unser Leben in der göttlichen Freude verankern können. In ihrer Schule werden wir erkennen, dass wir – an der Seite des göttlichen Neugeborenen – zu einer frohen Heiligkeit gelangen können …</t>
  </si>
  <si>
    <t xml:space="preserve">«Dio è gioia infinita». Questa famosa affermazione di santa Teresa di Los Andes (1900-1920), prima cilena ad essere canonizzata, dà il tono agli ESERCIZI SPIRITUALI ONLINE per l’Avvento 2023: sì, Dio è molto più amabile, più bello, più amorevole di quanto generalmente non lo si reputi! Teresa ce lo farà scoprire mostrandoci l’esempio di una santità affabile e condividendo con noi consigli accessibili perché ci radichiamo a nostra volta nella gioia divina. Alla sua scuola, constateremo che quella santità gioiosa, a fianco del Nuovo Nato, ci è accessibile.</t>
  </si>
  <si>
    <t xml:space="preserve">../img/2023_advent_header_FR.png</t>
  </si>
  <si>
    <t xml:space="preserve">../de/img/2023_advent_header_DE.png</t>
  </si>
  <si>
    <t xml:space="preserve">../img/2023_advent_header_ES.png</t>
  </si>
  <si>
    <t xml:space="preserve">../it/img/2023_advent_header_IT.jpg</t>
  </si>
  <si>
    <t xml:space="preserve">../img/2023_advent_header_EN.png</t>
  </si>
  <si>
    <t xml:space="preserve">../img/2023_advent_header_PL.png</t>
  </si>
  <si>
    <t xml:space="preserve">../img/2023_advent_header_AR.png</t>
  </si>
  <si>
    <t xml:space="preserve">../img/2023_advent_header_PT.png</t>
  </si>
  <si>
    <t xml:space="preserve">../img/2023_advent_header_ZH.png</t>
  </si>
  <si>
    <t xml:space="preserve">../img/2023_advent_header_CS.png</t>
  </si>
  <si>
    <t xml:space="preserve">../img/2023_advent_header_HR.png</t>
  </si>
  <si>
    <t xml:space="preserve">../img/2023_advent_header_HU.png</t>
  </si>
  <si>
    <t xml:space="preserve">../img/2023_advent_header_MT.png</t>
  </si>
  <si>
    <t xml:space="preserve">../img/2023_advent_header_NL.png</t>
  </si>
  <si>
    <t xml:space="preserve">../img/2023_advent_header_RO.png</t>
  </si>
  <si>
    <t xml:space="preserve">../img/2023_advent_header_VI.png</t>
  </si>
  <si>
    <t xml:space="preserve">lent-2023-oraison-weg-der-kindlichen-berufung</t>
  </si>
  <si>
    <t xml:space="preserve">https://retraites.carmes-paris.org/careme-2023/careme-2023-st-jean-de-la-croix/</t>
  </si>
  <si>
    <t xml:space="preserve">2023_fastenzeit</t>
  </si>
  <si>
    <t xml:space="preserve">2023_cuaresma</t>
  </si>
  <si>
    <t xml:space="preserve">2023_quaresima</t>
  </si>
  <si>
    <t xml:space="preserve">2023_lent</t>
  </si>
  <si>
    <t xml:space="preserve">2023_wielki-post</t>
  </si>
  <si>
    <t xml:space="preserve">2023_al-sawm-al-kabir</t>
  </si>
  <si>
    <t xml:space="preserve">2023_quaresma</t>
  </si>
  <si>
    <t xml:space="preserve">2023_sixunqi</t>
  </si>
  <si>
    <t xml:space="preserve">2023_pust</t>
  </si>
  <si>
    <t xml:space="preserve">2023_korizma</t>
  </si>
  <si>
    <t xml:space="preserve">2023_nagybojt</t>
  </si>
  <si>
    <t xml:space="preserve">2023_randan</t>
  </si>
  <si>
    <t xml:space="preserve">2023_vastentijd</t>
  </si>
  <si>
    <t xml:space="preserve">2023_postul-mare</t>
  </si>
  <si>
    <t xml:space="preserve">2023_mua-chay</t>
  </si>
  <si>
    <t xml:space="preserve">Die Heiligen des Karmel</t>
  </si>
  <si>
    <t xml:space="preserve">2023-02-22</t>
  </si>
  <si>
    <t xml:space="preserve">2023-04-16</t>
  </si>
  <si>
    <t xml:space="preserve">X:\ALLGEMEIN\0900 Veröffentlichungen\Veröffentlichungen-aktuell\2023 Fastenzeit</t>
  </si>
  <si>
    <t xml:space="preserve">Carême 2023</t>
  </si>
  <si>
    <t xml:space="preserve">Fastenzeit 2023: Das Gebet</t>
  </si>
  <si>
    <t xml:space="preserve">Quaresima &amp; Pasqua 2023: La preghiera</t>
  </si>
  <si>
    <t xml:space="preserve">« L’oraison » Chemin pour vivre notre vocation filiale</t>
  </si>
  <si>
    <t xml:space="preserve">Das Gebet - ein Weg, unsere Berufung als Kind Gottes zu leben</t>
  </si>
  <si>
    <t xml:space="preserve">La preghiera: vivere la vocazione di figli di Dio</t>
  </si>
  <si>
    <t xml:space="preserve">„Kinder Gottes: Wir sind es bereits im Keim durch unsere Taufe. Aber wie können wir unsere tiefe Berufung, für Gott Söhne und Töchter zu werden, voll und ganz verwirklichen? Das Gebet, das persönliche Gebet ist ein bevorzugter Weg für diese Neuschöpfung in Christus. Diese Exerzitien in der Fastenzeit werden uns helfen, unser geistliches Leben tiefgreifend zu erneuern, damit wir uns an der Ostergnade in kindlicher Dankbarkeit erfreuen können!"</t>
  </si>
  <si>
    <t xml:space="preserve">Figli di Dio: grazie al battesimo già lo siamo. Ma come fare per vivere pienamente questa nostra profonda vocazione di diventare figli di Dio? La preghiera mentale, che è una preghiera silenziosa e personale, è un cammino privilegiato per diventare e crescere come figli di Dio in Gesù Cristo. Questi «esercizi spirituali online» quaresimali ci aiuteranno a rinnovare la nostra vita spirituale, in profondità, così da fare esperienza della Pasqua colmi della gratitudine propria ai figli di Dio!</t>
  </si>
  <si>
    <t xml:space="preserve">../img/2023_lent_header_FR.png</t>
  </si>
  <si>
    <t xml:space="preserve">../de/img/2023_lent_header_DE.png</t>
  </si>
  <si>
    <t xml:space="preserve">../img/2023_lent_header_ES.png</t>
  </si>
  <si>
    <t xml:space="preserve">../it/img/2023_lent_header_IT.png</t>
  </si>
  <si>
    <t xml:space="preserve">../img/2023_lent_header_EN.png</t>
  </si>
  <si>
    <t xml:space="preserve">../img/2023_lent_header_PL.png</t>
  </si>
  <si>
    <t xml:space="preserve">../img/2023_lent_header_AR.png</t>
  </si>
  <si>
    <t xml:space="preserve">../img/2023_lent_header_PT.png</t>
  </si>
  <si>
    <t xml:space="preserve">../img/2023_lent_header_ZH.png</t>
  </si>
  <si>
    <t xml:space="preserve">../img/2023_lent_header_CS.png</t>
  </si>
  <si>
    <t xml:space="preserve">../img/2023_lent_header_HR.png</t>
  </si>
  <si>
    <t xml:space="preserve">../img/2023_lent_header_HU.png</t>
  </si>
  <si>
    <t xml:space="preserve">../img/2023_lent_header_MT.png</t>
  </si>
  <si>
    <t xml:space="preserve">../img/2023_lent_header_NL.png</t>
  </si>
  <si>
    <t xml:space="preserve">../img/2023_lent_header_RO.png</t>
  </si>
  <si>
    <t xml:space="preserve">../img/2023_lent_header_VI.png</t>
  </si>
  <si>
    <t xml:space="preserve">advent-2022-gott-in-unserem-leben</t>
  </si>
  <si>
    <t xml:space="preserve">2022_advent</t>
  </si>
  <si>
    <t xml:space="preserve">2022_adviento</t>
  </si>
  <si>
    <t xml:space="preserve">2022_avvento</t>
  </si>
  <si>
    <t xml:space="preserve">2022_adwent</t>
  </si>
  <si>
    <t xml:space="preserve">2022_zaman-al-maji</t>
  </si>
  <si>
    <t xml:space="preserve">2022_advento</t>
  </si>
  <si>
    <t xml:space="preserve">2022_jianglinqi</t>
  </si>
  <si>
    <t xml:space="preserve">2022_dosasce</t>
  </si>
  <si>
    <t xml:space="preserve">2022_avvent</t>
  </si>
  <si>
    <t xml:space="preserve">2022_mua-vong</t>
  </si>
  <si>
    <t xml:space="preserve">2022-11-23</t>
  </si>
  <si>
    <t xml:space="preserve">2023-01-01</t>
  </si>
  <si>
    <t xml:space="preserve">X:\ALLGEMEIN\0900 Veröffentlichungen\Veröffentlichungen-aktuell\2022 Advent</t>
  </si>
  <si>
    <t xml:space="preserve">Avent 2022</t>
  </si>
  <si>
    <t xml:space="preserve">Advent 2022 in der Schule der Heiligen des Karmel</t>
  </si>
  <si>
    <t xml:space="preserve">Accueillir la Présence de Dieu dans nos vies</t>
  </si>
  <si>
    <t xml:space="preserve">Die Gegenwart Gottes in unserem Leben erfahren</t>
  </si>
  <si>
    <t xml:space="preserve">Das Weihnachtsgeheimnis ist das Geheimnis Gottes, der sich in unserem Menschsein zu unserer Erlösung gegenwärtig macht. Vor 2000 Jahren in der Krippe von Bethlehem anwesend, ist Christus Jesus hier und jetzt, mitten unter uns und in jedem von uns gegenwärtig. Während dieser Einkehrtage im Advent werden wir uns in die Schule der Heiligen des Karmel begeben, um diese Gegenwart Gottes in unserem Leben auf erneuerte Weise zu empfangen. Gehen wir "auf dieser wunderbaren Straße der Gegenwart Gottes"!</t>
  </si>
  <si>
    <t xml:space="preserve">../img/AD22_header_FR.png</t>
  </si>
  <si>
    <t xml:space="preserve">../de/img/AD22_header_DE.png</t>
  </si>
  <si>
    <t xml:space="preserve">../img/AD22_header_ES.png</t>
  </si>
  <si>
    <t xml:space="preserve">../it/img/AD22_header_IT.png</t>
  </si>
  <si>
    <t xml:space="preserve">../img/AD22_header_EN.png</t>
  </si>
  <si>
    <t xml:space="preserve">../img/AD22_header_PL.png</t>
  </si>
  <si>
    <t xml:space="preserve">../img/AD22_header_AR.png</t>
  </si>
  <si>
    <t xml:space="preserve">../img/AD22_header_PT.png</t>
  </si>
  <si>
    <t xml:space="preserve">../img/AD22_header_ZH.png</t>
  </si>
  <si>
    <t xml:space="preserve">../img/AD22_header_CS.png</t>
  </si>
  <si>
    <t xml:space="preserve">../img/AD22_header_HR.png</t>
  </si>
  <si>
    <t xml:space="preserve">../img/AD22_header_HU.png</t>
  </si>
  <si>
    <t xml:space="preserve">../img/AD22_header_MT.png</t>
  </si>
  <si>
    <t xml:space="preserve">../img/AD22_header_NL.png</t>
  </si>
  <si>
    <t xml:space="preserve">../img/AD22_header_RO.png</t>
  </si>
  <si>
    <t xml:space="preserve">../img/AD22_header_VI.png</t>
  </si>
  <si>
    <t xml:space="preserve">lent-2022-barmherzigkeit-gottes-mit-den-heiligen-des-karmels</t>
  </si>
  <si>
    <t xml:space="preserve">https://retraites.carmes-paris.org/careme-2022/careme-2022-st-jean-de-la-croix/</t>
  </si>
  <si>
    <t xml:space="preserve">2022_fastenzeit</t>
  </si>
  <si>
    <t xml:space="preserve">2022_cuaresma</t>
  </si>
  <si>
    <t xml:space="preserve">2022_quaresima</t>
  </si>
  <si>
    <t xml:space="preserve">2022_lent</t>
  </si>
  <si>
    <t xml:space="preserve">2022_wielki-post</t>
  </si>
  <si>
    <t xml:space="preserve">2022_al-sawm-al-kabir</t>
  </si>
  <si>
    <t xml:space="preserve">2022_quaresma</t>
  </si>
  <si>
    <t xml:space="preserve">2022_sixunqi</t>
  </si>
  <si>
    <t xml:space="preserve">2022_pust</t>
  </si>
  <si>
    <t xml:space="preserve">2022_korizma</t>
  </si>
  <si>
    <t xml:space="preserve">2022_nagybojt</t>
  </si>
  <si>
    <t xml:space="preserve">2022_randan</t>
  </si>
  <si>
    <t xml:space="preserve">2022_vastentijd</t>
  </si>
  <si>
    <t xml:space="preserve">2022_postul-mare</t>
  </si>
  <si>
    <t xml:space="preserve">2022_mua-chay</t>
  </si>
  <si>
    <t xml:space="preserve">2022-03-02</t>
  </si>
  <si>
    <t xml:space="preserve">2022-04-24</t>
  </si>
  <si>
    <t xml:space="preserve">X:\ALLGEMEIN\0900 Veröffentlichungen\Veröffentlichungen-aktuell\2022 Fasten</t>
  </si>
  <si>
    <t xml:space="preserve">Carême 2022</t>
  </si>
  <si>
    <t xml:space="preserve">Fastenzeit 2022: Gottes Barmherzigkeit leben mit den Heiligen des Karmel</t>
  </si>
  <si>
    <t xml:space="preserve">Vivre la Miséricorde de Dieu avec les saints du Carmel</t>
  </si>
  <si>
    <t xml:space="preserve">Die Barmherzigkeit Gottes leben</t>
  </si>
  <si>
    <t xml:space="preserve">Folgende Persönlichkeiten aus dem Karmel werden uns etwas zum Thema Gottesbarmherzigkeit sagen: 
 hl. Teresa von Aila
 hl. Johannes vom Kreuz
Lorenz von der Auferstehung
hl. Thérèse von Lisieux
hl. Elisabeth von der Dreifaltigkeit
hl. Teresa von los Andes</t>
  </si>
  <si>
    <t xml:space="preserve">../img/FS22_header_FR.png</t>
  </si>
  <si>
    <t xml:space="preserve">../de/img/FS22_header_DE.jpg</t>
  </si>
  <si>
    <t xml:space="preserve">../img/FS22_header_ES.png</t>
  </si>
  <si>
    <t xml:space="preserve">../it/img/FS22_header_IT.png</t>
  </si>
  <si>
    <t xml:space="preserve">../img/FS22_header_EN.png</t>
  </si>
  <si>
    <t xml:space="preserve">../img/FS22_header_PL.png</t>
  </si>
  <si>
    <t xml:space="preserve">../img/FS22_header_AR.png</t>
  </si>
  <si>
    <t xml:space="preserve">../img/FS22_header_PT.png</t>
  </si>
  <si>
    <t xml:space="preserve">../img/FS22_header_ZH.png</t>
  </si>
  <si>
    <t xml:space="preserve">../img/FS22_header_CS.png</t>
  </si>
  <si>
    <t xml:space="preserve">../img/FS22_header_HR.png</t>
  </si>
  <si>
    <t xml:space="preserve">../img/FS22_header_HU.png</t>
  </si>
  <si>
    <t xml:space="preserve">../img/FS22_header_MT.png</t>
  </si>
  <si>
    <t xml:space="preserve">../img/FS22_header_NL.png</t>
  </si>
  <si>
    <t xml:space="preserve">../img/FS22_header_RO.png</t>
  </si>
  <si>
    <t xml:space="preserve">../img/FS22_header_VI.png</t>
  </si>
  <si>
    <t xml:space="preserve">advent-2021-kindheit-der-seele</t>
  </si>
  <si>
    <t xml:space="preserve">2021_advent</t>
  </si>
  <si>
    <t xml:space="preserve">2021_adviento</t>
  </si>
  <si>
    <t xml:space="preserve">2021_avvento</t>
  </si>
  <si>
    <t xml:space="preserve">2021_adwent</t>
  </si>
  <si>
    <t xml:space="preserve">2021_zaman-al-maji</t>
  </si>
  <si>
    <t xml:space="preserve">2021_advento</t>
  </si>
  <si>
    <t xml:space="preserve">2021_jianglinqi</t>
  </si>
  <si>
    <t xml:space="preserve">2021_dosasce</t>
  </si>
  <si>
    <t xml:space="preserve">2021_avvent</t>
  </si>
  <si>
    <t xml:space="preserve">2021_mua-vong</t>
  </si>
  <si>
    <t xml:space="preserve">2021-11-26</t>
  </si>
  <si>
    <t xml:space="preserve">2022-01-02</t>
  </si>
  <si>
    <t xml:space="preserve">X:\ALLGEMEIN\0900 Veröffentlichungen\Veröffentlichungen-aktuell\2021 Advent</t>
  </si>
  <si>
    <t xml:space="preserve">Avent 2021</t>
  </si>
  <si>
    <t xml:space="preserve">Advent 2021 mit der hl. Thérèse von Lisieux und Maria Montessori</t>
  </si>
  <si>
    <t xml:space="preserve">"L' enfance de l’âme " Avec sainte Thérèse de l’Enfant-Jésus et Maria Montessori</t>
  </si>
  <si>
    <t xml:space="preserve">"Die Kindschaft der Seele" Unser Morgenrot Wecken</t>
  </si>
  <si>
    <t xml:space="preserve">Die heilige Thérèse vom Kinde Jesus (1873-1897) und Maria Montessori (1870-1952) sind beide Doktoren. Die eine führt die Kirche zur Kindschaft, die andere das Kind zur Kirche. Als Frauen und Prophetinnen haben sie aus der Quelle desselben Evangeliums geschöpft. Durch ihre Stimmen, die  im Wechsel gleichsam als Echo widerhallen, lüftet Gott den geheimnisvollen Schleier seines Antlitzes, das den Kleinen zugetan ist.</t>
  </si>
  <si>
    <t xml:space="preserve">../img/AD21_header_FR.png</t>
  </si>
  <si>
    <t xml:space="preserve">../de/img/AD21_header_DE.jpg</t>
  </si>
  <si>
    <t xml:space="preserve">../img/AD21_header_ES.png</t>
  </si>
  <si>
    <t xml:space="preserve">../it/img/AD21_header_IT.png</t>
  </si>
  <si>
    <t xml:space="preserve">../img/AD21_header_EN.png</t>
  </si>
  <si>
    <t xml:space="preserve">../img/AD21_header_PL.png</t>
  </si>
  <si>
    <t xml:space="preserve">../img/AD21_header_AR.png</t>
  </si>
  <si>
    <t xml:space="preserve">../img/AD21_header_PT.png</t>
  </si>
  <si>
    <t xml:space="preserve">../img/AD21_header_ZH.png</t>
  </si>
  <si>
    <t xml:space="preserve">../img/AD21_header_CS.png</t>
  </si>
  <si>
    <t xml:space="preserve">../img/AD21_header_HR.png</t>
  </si>
  <si>
    <t xml:space="preserve">../img/AD21_header_HU.png</t>
  </si>
  <si>
    <t xml:space="preserve">../img/AD21_header_MT.png</t>
  </si>
  <si>
    <t xml:space="preserve">../img/AD21_header_NL.png</t>
  </si>
  <si>
    <t xml:space="preserve">../img/AD21_header_RO.png</t>
  </si>
  <si>
    <t xml:space="preserve">../img/AD21_header_VI.png</t>
  </si>
  <si>
    <t xml:space="preserve">lent-2021-therese-von-avila</t>
  </si>
  <si>
    <t xml:space="preserve">https://retraites.carmes-paris.org/careme-2021/careme-2021-st-jean-de-la-croix/</t>
  </si>
  <si>
    <t xml:space="preserve">2021_fastenzeit</t>
  </si>
  <si>
    <t xml:space="preserve">2021_cuaresma</t>
  </si>
  <si>
    <t xml:space="preserve">2021_quaresima</t>
  </si>
  <si>
    <t xml:space="preserve">2021_lent</t>
  </si>
  <si>
    <t xml:space="preserve">2021_wielki-post</t>
  </si>
  <si>
    <t xml:space="preserve">2021_al-sawm-al-kabir</t>
  </si>
  <si>
    <t xml:space="preserve">2021_quaresma</t>
  </si>
  <si>
    <t xml:space="preserve">2021_sixunqi</t>
  </si>
  <si>
    <t xml:space="preserve">2021_pust</t>
  </si>
  <si>
    <t xml:space="preserve">2021_korizma</t>
  </si>
  <si>
    <t xml:space="preserve">2021_nagybojt</t>
  </si>
  <si>
    <t xml:space="preserve">2021_randan</t>
  </si>
  <si>
    <t xml:space="preserve">2021_vastentijd</t>
  </si>
  <si>
    <t xml:space="preserve">2021_postul-mare</t>
  </si>
  <si>
    <t xml:space="preserve">2021_mua-chay</t>
  </si>
  <si>
    <t xml:space="preserve">Heilige Teresa von Ávila</t>
  </si>
  <si>
    <t xml:space="preserve">X:\ALLGEMEIN\0900 Veröffentlichungen\Veröffentlichungen-aktuell\2021 Fasten</t>
  </si>
  <si>
    <t xml:space="preserve">Carême 2021</t>
  </si>
  <si>
    <t xml:space="preserve">Fastenzeit 2021 mit der Heilige Teresa von Ávila</t>
  </si>
  <si>
    <t xml:space="preserve">Cuaresma 2021 con Santa Teresa</t>
  </si>
  <si>
    <t xml:space="preserve">Marcher de demeures en demeures avec sainte Thérèse d’Ávila</t>
  </si>
  <si>
    <t xml:space="preserve">Tretet ein in die Burg Eurer Seele...</t>
  </si>
  <si>
    <t xml:space="preserve">Caminando de morada en morada</t>
  </si>
  <si>
    <t xml:space="preserve">Es war mitten in einer Krise, als die heilige Teresa von Ávila (1515-1582) ihr geistliches Meisterwerk, das Buch der Wohnungen der Inneren Burg, schrieb. Während ihr gesamtes Werk als Gründerin des Karmel in sich zusammenzufallen scheint, schöpft sie ihre Energie aus ihrer inneren Burg. In unserem Kontext der Gesundheits- und Wirtschaftskrise kann uns die ‘Madre’ in dieser Fastenzeit helfen, zu entdecken, dass unsere Stärke im Inneren liegt. Mit dieser Kirchenlehrerin gehen wir durch die Burg von Wohnung zu Wohnung zum Zentrum, wo das Licht von Ostern leuchtet. Die Gegenwart des Auferstandenen ist die wahre gute Nachricht, die unser geistliches Leben wiederbeleben kann. 
Die Meditationen wurden von P. Guillaume Dehorter OCD (Karmelit in Avon bei Paris) und einem Team zusammengestellt. Die Aussendung in deutscher Sprache geschieht als Initiative des Verlags Christliche Innerlichkeit und des Teresianischen Karmel in Österreich, der Edith Stein Gesellschaft Österreich und der Marienschwestern vom Karmel. Die deutsche Fassung wurde von den Karmelitinnen in Mayerling bereitgestellt.</t>
  </si>
  <si>
    <t xml:space="preserve">Durante esta Cuaresma nos acompañara las enseñanzas de Santa Teresa de Ávila (1515-1582, gran mística y maestra de oración que nos alentará a adentrarnos en nosotros mismos y fijar  la mirada  en “Aquel que sabemos nos Ama”infinitamente,  nuestro modelo y camino de toda vida cristiana. Fue en medio de una gran crisis que Teresa de Jesús escribió su obra maestra espiritual, Las Moradas. Cuando parece que la obra fundacional de sus “Carmelos” parece desmoronarse, la Santa extrae toda su fortaleza de su Castillo Interior. En nuestro contexto de crisis sanitaria y económica, la Santa Madre puede ayudarnos durante  esta Cuaresma a descubrir que nuestra fuerza está en nuestro interior. Con esta Doctora de la Iglesia, caminaremos de morada en morada  hasta el centro donde resplandece la luz de la Pascua. La presencia del Resucitado es la verdadera Buena Noticia que puede revitalizar nuestra vida espiritual. ¡Qué esta Cuaresma sea un tiempo en el que experimentemos la amistad con Dios hasta convertirnos en sus compañeros de camino de entrega!</t>
  </si>
  <si>
    <t xml:space="preserve">../img/FS21_header_FR.png</t>
  </si>
  <si>
    <t xml:space="preserve">../de/img/FS21_header_DE.jpg</t>
  </si>
  <si>
    <t xml:space="preserve">../es/img/2021_lent_header_ES.jpg</t>
  </si>
  <si>
    <t xml:space="preserve">../it/img/FS21_header_IT.png</t>
  </si>
  <si>
    <t xml:space="preserve">../img/FS21_header_EN.png</t>
  </si>
  <si>
    <t xml:space="preserve">../img/FS21_header_PL.png</t>
  </si>
  <si>
    <t xml:space="preserve">../img/FS21_header_AR.png</t>
  </si>
  <si>
    <t xml:space="preserve">../img/FS21_header_PT.png</t>
  </si>
  <si>
    <t xml:space="preserve">../img/FS21_header_ZH.png</t>
  </si>
  <si>
    <t xml:space="preserve">../img/FS21_header_CS.png</t>
  </si>
  <si>
    <t xml:space="preserve">../img/FS21_header_HR.png</t>
  </si>
  <si>
    <t xml:space="preserve">../img/FS21_header_HU.png</t>
  </si>
  <si>
    <t xml:space="preserve">../img/FS21_header_MT.png</t>
  </si>
  <si>
    <t xml:space="preserve">../img/FS21_header_NL.png</t>
  </si>
  <si>
    <t xml:space="preserve">../img/FS21_header_RO.png</t>
  </si>
  <si>
    <t xml:space="preserve">../img/FS21_header_VI.png</t>
  </si>
  <si>
    <t xml:space="preserve">advent-2020-madame-acarie</t>
  </si>
  <si>
    <t xml:space="preserve">2020_advent</t>
  </si>
  <si>
    <t xml:space="preserve">2020_adviento</t>
  </si>
  <si>
    <t xml:space="preserve">2020_avvento</t>
  </si>
  <si>
    <t xml:space="preserve">2020_adwent</t>
  </si>
  <si>
    <t xml:space="preserve">2020_zaman-al-maji</t>
  </si>
  <si>
    <t xml:space="preserve">2020_advento</t>
  </si>
  <si>
    <t xml:space="preserve">2020_jianglinqi</t>
  </si>
  <si>
    <t xml:space="preserve">2020_dosasce</t>
  </si>
  <si>
    <t xml:space="preserve">2020_avvent</t>
  </si>
  <si>
    <t xml:space="preserve">2020_mua-vong</t>
  </si>
  <si>
    <t xml:space="preserve">Maria von der Menschwerdung</t>
  </si>
  <si>
    <t xml:space="preserve">X:\ALLGEMEIN\0900 Veröffentlichungen\Veröffentlichungen-aktuell\2020 Advent</t>
  </si>
  <si>
    <t xml:space="preserve">Avent 2020</t>
  </si>
  <si>
    <t xml:space="preserve">Advent 2020 mit der "Schönen Acarie" (1566-1618)</t>
  </si>
  <si>
    <t xml:space="preserve">Madame Acarie</t>
  </si>
  <si>
    <t xml:space="preserve">Glauben an das Unmögliche</t>
  </si>
  <si>
    <t xml:space="preserve">Diesmal begleitet uns durch den Advent die Gründerin des Karmel in Frankreich, Sr. Maria von der Menschwerdung (1566-1618), auch die “Schöne Acarie” genannt. Sie heiratete, bekamm Kinder und war in der Gesellshaft ihrer Zeit sehr einflussreich, bevor sie schließlich als Witwe in den Karmel eintrat. Ihre Biographie und ihre geistlichen Schriften geben Nahrung besonders in einer Zeit wie dieser, die von Unsicherheit geprägt ist. Die Exerzitien stehen unter dem Motto: Glauben an das Unmögliche.</t>
  </si>
  <si>
    <t xml:space="preserve">../img/AD20_header_FR.png</t>
  </si>
  <si>
    <t xml:space="preserve">../de/img/AD20_header_DE.jpg</t>
  </si>
  <si>
    <t xml:space="preserve">../img/AD20_header_ES.png</t>
  </si>
  <si>
    <t xml:space="preserve">../it/img/AD20_header_IT.png</t>
  </si>
  <si>
    <t xml:space="preserve">../img/AD20_header_EN.png</t>
  </si>
  <si>
    <t xml:space="preserve">../img/AD20_header_PL.png</t>
  </si>
  <si>
    <t xml:space="preserve">../img/AD20_header_AR.png</t>
  </si>
  <si>
    <t xml:space="preserve">../img/AD20_header_PT.png</t>
  </si>
  <si>
    <t xml:space="preserve">../img/AD20_header_ZH.png</t>
  </si>
  <si>
    <t xml:space="preserve">../img/AD20_header_CS.png</t>
  </si>
  <si>
    <t xml:space="preserve">../img/AD20_header_HR.png</t>
  </si>
  <si>
    <t xml:space="preserve">../img/AD20_header_HU.png</t>
  </si>
  <si>
    <t xml:space="preserve">../img/AD20_header_MT.png</t>
  </si>
  <si>
    <t xml:space="preserve">../img/AD20_header_NL.png</t>
  </si>
  <si>
    <t xml:space="preserve">../img/AD20_header_RO.png</t>
  </si>
  <si>
    <t xml:space="preserve">../img/AD20_header_VI.png</t>
  </si>
  <si>
    <t xml:space="preserve">lent-2020-heureuse-aventure</t>
  </si>
  <si>
    <t xml:space="preserve">https://retraites.carmes-paris.org/careme-2020/careme-2020-st-jean-de-la-croix/</t>
  </si>
  <si>
    <t xml:space="preserve">2020_fastenzeit</t>
  </si>
  <si>
    <t xml:space="preserve">2020_cuaresma</t>
  </si>
  <si>
    <t xml:space="preserve">2020_quaresima</t>
  </si>
  <si>
    <t xml:space="preserve">2020_lent</t>
  </si>
  <si>
    <t xml:space="preserve">2020_wielki-post</t>
  </si>
  <si>
    <t xml:space="preserve">2020_al-sawm-al-kabir</t>
  </si>
  <si>
    <t xml:space="preserve">2020_quaresma</t>
  </si>
  <si>
    <t xml:space="preserve">2020_sixunqi</t>
  </si>
  <si>
    <t xml:space="preserve">2020_pust</t>
  </si>
  <si>
    <t xml:space="preserve">2020_korizma</t>
  </si>
  <si>
    <t xml:space="preserve">2020_nagybojt</t>
  </si>
  <si>
    <t xml:space="preserve">2020_randan</t>
  </si>
  <si>
    <t xml:space="preserve">2020_vastentijd</t>
  </si>
  <si>
    <t xml:space="preserve">2020_postul-mare</t>
  </si>
  <si>
    <t xml:space="preserve">2020_mua-chay</t>
  </si>
  <si>
    <t xml:space="preserve">X:\ALLGEMEIN\0900 Veröffentlichungen\Veröffentlichungen-aktuell\2020 Fasten</t>
  </si>
  <si>
    <t xml:space="preserve">Carême 2020</t>
  </si>
  <si>
    <t xml:space="preserve">Fastenzeit 2020 mit dem Hl. Johannes vom Kreuz</t>
  </si>
  <si>
    <t xml:space="preserve">Oser « l’heureuse aventure » avec saint Jean de la Croix</t>
  </si>
  <si>
    <t xml:space="preserve">die Liebe wagen...</t>
  </si>
  <si>
    <t xml:space="preserve">In dieser Fastenzeit werden uns Texte des hl. Karmeliten Johannes vom Kreuz begleiten, der im XVI. Jhd. zusammen mit der hl. Teresa von Avila den Orden der Karmelitinnen und Karmeliten reformiert hat. Als Lehrer der Kirche gilt er besonders als Meister des mystischen Lebens und wird heute noch von vielen als Berater im Geistlichen Leben angerufen bzw. werden seine Werke gelesen.</t>
  </si>
  <si>
    <t xml:space="preserve">../img/FS20_header_FR.png</t>
  </si>
  <si>
    <t xml:space="preserve">../de/img/FS20_header_DE.jpg</t>
  </si>
  <si>
    <t xml:space="preserve">../img/FS20_header_ES.png</t>
  </si>
  <si>
    <t xml:space="preserve">../it/img/FS20_header_IT.png</t>
  </si>
  <si>
    <t xml:space="preserve">../img/FS20_header_EN.png</t>
  </si>
  <si>
    <t xml:space="preserve">../img/FS20_header_PL.png</t>
  </si>
  <si>
    <t xml:space="preserve">../img/FS20_header_AR.png</t>
  </si>
  <si>
    <t xml:space="preserve">../img/FS20_header_PT.png</t>
  </si>
  <si>
    <t xml:space="preserve">../img/FS20_header_ZH.png</t>
  </si>
  <si>
    <t xml:space="preserve">../img/FS20_header_CS.png</t>
  </si>
  <si>
    <t xml:space="preserve">../img/FS20_header_HR.png</t>
  </si>
  <si>
    <t xml:space="preserve">../img/FS20_header_HU.png</t>
  </si>
  <si>
    <t xml:space="preserve">../img/FS20_header_MT.png</t>
  </si>
  <si>
    <t xml:space="preserve">../img/FS20_header_NL.png</t>
  </si>
  <si>
    <t xml:space="preserve">../img/FS20_header_RO.png</t>
  </si>
  <si>
    <t xml:space="preserve">../img/FS20_header_VI.png</t>
  </si>
  <si>
    <t xml:space="preserve">advent-2019-communier-a-la-vie-de-grace-de-marie</t>
  </si>
  <si>
    <t xml:space="preserve">2019_advent</t>
  </si>
  <si>
    <t xml:space="preserve">2019_adviento</t>
  </si>
  <si>
    <t xml:space="preserve">2019_avvento</t>
  </si>
  <si>
    <t xml:space="preserve">2019_adwent</t>
  </si>
  <si>
    <t xml:space="preserve">2019_zaman-al-maji</t>
  </si>
  <si>
    <t xml:space="preserve">2019_advento</t>
  </si>
  <si>
    <t xml:space="preserve">2019_jianglinqi</t>
  </si>
  <si>
    <t xml:space="preserve">2019_dosasce</t>
  </si>
  <si>
    <t xml:space="preserve">2019_avvent</t>
  </si>
  <si>
    <t xml:space="preserve">2019_mua-vong</t>
  </si>
  <si>
    <t xml:space="preserve">Unsere Liebe Frau vom Berge Karmel</t>
  </si>
  <si>
    <t xml:space="preserve">X:\ALLGEMEIN\0900 Veröffentlichungen\Veröffentlichungen-aktuell\2019 Advent</t>
  </si>
  <si>
    <t xml:space="preserve">Avent 2019</t>
  </si>
  <si>
    <t xml:space="preserve">Advent 2019 mit Unserer Lieben Frau vom Berge Karmel</t>
  </si>
  <si>
    <t xml:space="preserve">"Communier à la vie de grâce de Marie" avec François de Sainte-Marie, ocd (1910-1961)</t>
  </si>
  <si>
    <t xml:space="preserve">Am Gnadenleben Mariens teilhaben</t>
  </si>
  <si>
    <t xml:space="preserve">Wer ist qualifizierter als die Mutter Jesu, die Jungfrau Maria, um uns auf Weihnachten vorzubereiten? Unsere liebe Frau vom Berge Karmel begleitet uns in diesen neuen Adventsexerzitien und hilft uns, das Wort Gottes zu verinnerlichen und es in die Tat umzusetzen. Wir werden das Geheimnis Mariens mithilfe der Schriften des Karmeliten P. François de S.te Marie OCD näher kennenlernen.</t>
  </si>
  <si>
    <t xml:space="preserve">../img/AD19_header_FR.png</t>
  </si>
  <si>
    <t xml:space="preserve">../de/img/AD19_header_DE.jpg</t>
  </si>
  <si>
    <t xml:space="preserve">../img/AD19_header_ES.png</t>
  </si>
  <si>
    <t xml:space="preserve">../it/img/AD19_header_IT.png</t>
  </si>
  <si>
    <t xml:space="preserve">../img/AD19_header_EN.png</t>
  </si>
  <si>
    <t xml:space="preserve">../img/AD19_header_PL.png</t>
  </si>
  <si>
    <t xml:space="preserve">../img/AD19_header_AR.png</t>
  </si>
  <si>
    <t xml:space="preserve">../img/AD19_header_PT.png</t>
  </si>
  <si>
    <t xml:space="preserve">../img/AD19_header_ZH.png</t>
  </si>
  <si>
    <t xml:space="preserve">../img/AD19_header_CS.png</t>
  </si>
  <si>
    <t xml:space="preserve">../img/AD19_header_HR.png</t>
  </si>
  <si>
    <t xml:space="preserve">../img/AD19_header_HU.png</t>
  </si>
  <si>
    <t xml:space="preserve">../img/AD19_header_MT.png</t>
  </si>
  <si>
    <t xml:space="preserve">../img/AD19_header_NL.png</t>
  </si>
  <si>
    <t xml:space="preserve">../img/AD19_header_RO.png</t>
  </si>
  <si>
    <t xml:space="preserve">../img/AD19_header_VI.png</t>
  </si>
  <si>
    <t xml:space="preserve">lent-2019-edith-stein</t>
  </si>
  <si>
    <t xml:space="preserve">https://retraites.carmes-paris.org/careme-2019/careme-2019-st-jean-de-la-croix/</t>
  </si>
  <si>
    <t xml:space="preserve">2019_fastenzeit</t>
  </si>
  <si>
    <t xml:space="preserve">2019_cuaresma</t>
  </si>
  <si>
    <t xml:space="preserve">2019_quaresima</t>
  </si>
  <si>
    <t xml:space="preserve">2019_lent</t>
  </si>
  <si>
    <t xml:space="preserve">2019_wielki-post</t>
  </si>
  <si>
    <t xml:space="preserve">2019_al-sawm-al-kabir</t>
  </si>
  <si>
    <t xml:space="preserve">2019_quaresma</t>
  </si>
  <si>
    <t xml:space="preserve">2019_sixunqi</t>
  </si>
  <si>
    <t xml:space="preserve">2019_pust</t>
  </si>
  <si>
    <t xml:space="preserve">2019_korizma</t>
  </si>
  <si>
    <t xml:space="preserve">2019_nagybojt</t>
  </si>
  <si>
    <t xml:space="preserve">2019_randan</t>
  </si>
  <si>
    <t xml:space="preserve">2019_vastentijd</t>
  </si>
  <si>
    <t xml:space="preserve">2019_postul-mare</t>
  </si>
  <si>
    <t xml:space="preserve">2019_mua-chay</t>
  </si>
  <si>
    <t xml:space="preserve">Heilige Teresa-Benedicta vom Kreuz (Edith Stein)</t>
  </si>
  <si>
    <t xml:space="preserve">X:\ALLGEMEIN\0900 Veröffentlichungen\Veröffentlichungen-aktuell\2019 Fasten</t>
  </si>
  <si>
    <t xml:space="preserve">Carême 2019</t>
  </si>
  <si>
    <t xml:space="preserve">Fastenzeit 2019 mit Edith Stein Hl. Teresa-Benedicta vom Kreuz</t>
  </si>
  <si>
    <t xml:space="preserve">Carême avec sainte Édith Stein</t>
  </si>
  <si>
    <t xml:space="preserve">Der Auferstehung entgegen mit Edith Stein Hl. Teresa-Benedicta vom Kreuz</t>
  </si>
  <si>
    <t xml:space="preserve">Die Hl. Teresa Benedicta vom Kreuz ist eine Mit-Patronin von Europa. Bevor sie in den Karmel eintrat und ihren Ordensnamen angenommen hat, war Edith Stein Philosophin und Dozentin. Sie wurde 1981 in Preussen als Jüdin geboren und wandte sich später dem Agnostizismus zu. Sie begab sich auf die Suche nach Wahrheit, durch die Philosophie und die Ereignisse in ihrem Leben, bis sie schließlich Christus entdeckte und sich im Alter von 31 Jahren taufen ließ. Sie wurde eine bemerkenswerte katholische Intellektuelle, der von den Nazis die Lehrerlaubnis entzogen wurde. Im Jahr 1933 trat sie in den Kölner Karmel ein, von wo sie 1939 nach Holland in den Karmel in Echt fliehen musste. Dort wurden sie und ihre Schwester festgenommen und nach Auschwitz gebracht, wo Edith Stein am 9. August 1942 starb. Hinterlassen hat sie uns ihr Werk und eine starke Botschaft. In dieser Fastenzeit werden uns ihre Schriften und ihr Leben begleiten, wenn wir uns auf den Weg machen, Christus nachzufolgen, der Auferstehung entgegen.</t>
  </si>
  <si>
    <t xml:space="preserve">../img/FS19_header_FR.png</t>
  </si>
  <si>
    <t xml:space="preserve">../de/img/FS19_header_DE.jpg</t>
  </si>
  <si>
    <t xml:space="preserve">../img/FS19_header_ES.png</t>
  </si>
  <si>
    <t xml:space="preserve">../it/img/FS19_header_IT.png</t>
  </si>
  <si>
    <t xml:space="preserve">../img/FS19_header_EN.png</t>
  </si>
  <si>
    <t xml:space="preserve">../img/FS19_header_PL.png</t>
  </si>
  <si>
    <t xml:space="preserve">../img/FS19_header_AR.png</t>
  </si>
  <si>
    <t xml:space="preserve">../img/FS19_header_PT.png</t>
  </si>
  <si>
    <t xml:space="preserve">../img/FS19_header_ZH.png</t>
  </si>
  <si>
    <t xml:space="preserve">../img/FS19_header_CS.png</t>
  </si>
  <si>
    <t xml:space="preserve">../img/FS19_header_HR.png</t>
  </si>
  <si>
    <t xml:space="preserve">../img/FS19_header_HU.png</t>
  </si>
  <si>
    <t xml:space="preserve">../img/FS19_header_MT.png</t>
  </si>
  <si>
    <t xml:space="preserve">../img/FS19_header_NL.png</t>
  </si>
  <si>
    <t xml:space="preserve">../img/FS19_header_RO.png</t>
  </si>
  <si>
    <t xml:space="preserve">../img/FS19_header_VI.png</t>
  </si>
  <si>
    <t xml:space="preserve">advent-2018-mont-carmel</t>
  </si>
  <si>
    <t xml:space="preserve">2018_advent</t>
  </si>
  <si>
    <t xml:space="preserve">2018_adviento</t>
  </si>
  <si>
    <t xml:space="preserve">2018_avvento</t>
  </si>
  <si>
    <t xml:space="preserve">2018_adwent</t>
  </si>
  <si>
    <t xml:space="preserve">2018_zaman-al-maji</t>
  </si>
  <si>
    <t xml:space="preserve">2018_advento</t>
  </si>
  <si>
    <t xml:space="preserve">2018_jianglinqi</t>
  </si>
  <si>
    <t xml:space="preserve">2018_dosasce</t>
  </si>
  <si>
    <t xml:space="preserve">2018_avvent</t>
  </si>
  <si>
    <t xml:space="preserve">2018_mua-vong</t>
  </si>
  <si>
    <t xml:space="preserve">X:\ALLGEMEIN\0900 Veröffentlichungen\Veröffentlichungen-aktuell\2018 Advent</t>
  </si>
  <si>
    <t xml:space="preserve">Avent 2018</t>
  </si>
  <si>
    <t xml:space="preserve">Advent 2018 mit Unserer Lieben Frau vom Berge Karmel</t>
  </si>
  <si>
    <t xml:space="preserve">Avec Notre-Dame du Mont Carmel – Préparer le chemin du Seigneur</t>
  </si>
  <si>
    <t xml:space="preserve">Den Weg des Herrn vorbereiten</t>
  </si>
  <si>
    <t xml:space="preserve">Wer ist qualifizierter als die Mutter Jesu, die Jungfrau Maria, um uns auf Weihnachten vorzubereiten? Nach dem heiligen Josef im vergangenen Jahr, begleitet sie uns in diesen neuen Adventsexerzitien. Unsere liebe Frau vom Berge Karmel hilft uns, das Wort Gottes zu verinnerlichen und es in die Tat umzusetzen. Wir werden das Geheimnis Mariens anhand des mittelalterlichen Gedichtes „Flos carmeli“ meditieren, das sie als Blume, Königin und Schönheit des Karmel anruft. So werden wir noch mehr entdecken, wie sehr Christus uns in unserer Menschheit begegnet.</t>
  </si>
  <si>
    <t xml:space="preserve">../img/AD18_header_FR.png</t>
  </si>
  <si>
    <t xml:space="preserve">../de/img/AD18_header_DE.jpg</t>
  </si>
  <si>
    <t xml:space="preserve">../img/AD18_header_ES.png</t>
  </si>
  <si>
    <t xml:space="preserve">../it/img/AD18_header_IT.png</t>
  </si>
  <si>
    <t xml:space="preserve">../img/AD18_header_EN.png</t>
  </si>
  <si>
    <t xml:space="preserve">../img/AD18_header_PL.png</t>
  </si>
  <si>
    <t xml:space="preserve">../img/AD18_header_AR.png</t>
  </si>
  <si>
    <t xml:space="preserve">../img/AD18_header_PT.png</t>
  </si>
  <si>
    <t xml:space="preserve">../img/AD18_header_ZH.png</t>
  </si>
  <si>
    <t xml:space="preserve">../img/AD18_header_CS.png</t>
  </si>
  <si>
    <t xml:space="preserve">../img/AD18_header_HR.png</t>
  </si>
  <si>
    <t xml:space="preserve">../img/AD18_header_HU.png</t>
  </si>
  <si>
    <t xml:space="preserve">../img/AD18_header_MT.png</t>
  </si>
  <si>
    <t xml:space="preserve">../img/AD18_header_NL.png</t>
  </si>
  <si>
    <t xml:space="preserve">../img/AD18_header_RO.png</t>
  </si>
  <si>
    <t xml:space="preserve">../img/AD18_header_VI.png</t>
  </si>
  <si>
    <t xml:space="preserve">lent-2018-laurent-de-la-resurrection</t>
  </si>
  <si>
    <t xml:space="preserve">https://retraites.carmes-paris.org/careme-2018/careme-2018-st-jean-de-la-croix/</t>
  </si>
  <si>
    <t xml:space="preserve">2018_fastenzeit</t>
  </si>
  <si>
    <t xml:space="preserve">2018_cuaresma</t>
  </si>
  <si>
    <t xml:space="preserve">2018_quaresima</t>
  </si>
  <si>
    <t xml:space="preserve">2018_lent</t>
  </si>
  <si>
    <t xml:space="preserve">2018_wielki-post</t>
  </si>
  <si>
    <t xml:space="preserve">2018_al-sawm-al-kabir</t>
  </si>
  <si>
    <t xml:space="preserve">2018_quaresma</t>
  </si>
  <si>
    <t xml:space="preserve">2018_sixunqi</t>
  </si>
  <si>
    <t xml:space="preserve">2018_pust</t>
  </si>
  <si>
    <t xml:space="preserve">2018_korizma</t>
  </si>
  <si>
    <t xml:space="preserve">2018_nagybojt</t>
  </si>
  <si>
    <t xml:space="preserve">2018_randan</t>
  </si>
  <si>
    <t xml:space="preserve">2018_vastentijd</t>
  </si>
  <si>
    <t xml:space="preserve">2018_postul-mare</t>
  </si>
  <si>
    <t xml:space="preserve">2018_mua-chay</t>
  </si>
  <si>
    <t xml:space="preserve">X:\ALLGEMEIN\0900 Veröffentlichungen\Veröffentlichungen-aktuell\2018 Fasten</t>
  </si>
  <si>
    <t xml:space="preserve">Carême 2018</t>
  </si>
  <si>
    <t xml:space="preserve">Fastenzeit 2018 mit Br. Lorenz von der Auferstehung</t>
  </si>
  <si>
    <t xml:space="preserve">Quaresima 2018 con fra Lorenzo della Risurrezione</t>
  </si>
  <si>
    <t xml:space="preserve">Avec Laurent de la Résurrection – Vivre toute chose en présence du Seigneur</t>
  </si>
  <si>
    <t xml:space="preserve">Sich von Gott formen lassen</t>
  </si>
  <si>
    <t xml:space="preserve">Lasciarsi plasmare da Dio</t>
  </si>
  <si>
    <t xml:space="preserve">«Ich wende mein kleines Omelett in der Pfanne aus Liebe zu Gott» Bruder Lorenz von der Auferstehung der „mystische Koch”</t>
  </si>
  <si>
    <t xml:space="preserve">Compilando il modulo qui sotto vi iscriverete gratuiramente agli “esercizi spirituali online” per la quaresima 2018. Quest’anno ci accompagnerà il carmelitano fra Lorenzo della Risurrezione (161-1691) . “Fra Lorenzo” “Brother Lawrence”: è stranamente più conosciuto in ambiente angolsassone che in Francia, la propria patria! Eppure fra Lorenzo della Risurrezione (1614-1691) ha vissuto la parte essenziale della sua vita nel convento degli scalzi di Parigi. È lì che ha scoperto e poi insegnato ciò che verrà chiamata “la pratica della presenza di Dio”.  Questo umile frate prima cuoco e poi calzolaio esercitò una grande influenza durante la sua vita e il suo messaggio è arrivato sino a noi. Ci aiuta a vivere gli aspetti più banali della vita quotidiana sotto lo sguardo di Dio. La preghiera non è più confinata a tempi specifici. È tutta la nostra esistenza che diventa una relazione viva con il Signore. Durante questa quaresima, ci lasceremo plasmare da questo Mistero!</t>
  </si>
  <si>
    <t xml:space="preserve">../img/FS18_header_FR.png</t>
  </si>
  <si>
    <t xml:space="preserve">../de/img/FS18_header_DE.jpg</t>
  </si>
  <si>
    <t xml:space="preserve">../img/FS18_header_ES.png</t>
  </si>
  <si>
    <t xml:space="preserve">../it/img/FS18_header_IT.png</t>
  </si>
  <si>
    <t xml:space="preserve">../img/FS18_header_EN.png</t>
  </si>
  <si>
    <t xml:space="preserve">../img/FS18_header_PL.png</t>
  </si>
  <si>
    <t xml:space="preserve">../img/FS18_header_AR.png</t>
  </si>
  <si>
    <t xml:space="preserve">../img/FS18_header_PT.png</t>
  </si>
  <si>
    <t xml:space="preserve">../img/FS18_header_ZH.png</t>
  </si>
  <si>
    <t xml:space="preserve">../img/FS18_header_CS.png</t>
  </si>
  <si>
    <t xml:space="preserve">../img/FS18_header_HR.png</t>
  </si>
  <si>
    <t xml:space="preserve">../img/FS18_header_HU.png</t>
  </si>
  <si>
    <t xml:space="preserve">../img/FS18_header_MT.png</t>
  </si>
  <si>
    <t xml:space="preserve">../img/FS18_header_NL.png</t>
  </si>
  <si>
    <t xml:space="preserve">../img/FS18_header_RO.png</t>
  </si>
  <si>
    <t xml:space="preserve">../img/FS18_header_VI.png</t>
  </si>
  <si>
    <t xml:space="preserve">advent-2017-josef-das-wort</t>
  </si>
  <si>
    <t xml:space="preserve">2017_advent</t>
  </si>
  <si>
    <t xml:space="preserve">2017_adviento</t>
  </si>
  <si>
    <t xml:space="preserve">2017_avvento</t>
  </si>
  <si>
    <t xml:space="preserve">2017_adwent</t>
  </si>
  <si>
    <t xml:space="preserve">2017_zaman-al-maji</t>
  </si>
  <si>
    <t xml:space="preserve">2017_advento</t>
  </si>
  <si>
    <t xml:space="preserve">2017_jianglinqi</t>
  </si>
  <si>
    <t xml:space="preserve">2017_dosasce</t>
  </si>
  <si>
    <t xml:space="preserve">2017_avvent</t>
  </si>
  <si>
    <t xml:space="preserve">2017_mua-vong</t>
  </si>
  <si>
    <t xml:space="preserve">Heiliger Joseph</t>
  </si>
  <si>
    <t xml:space="preserve">X:\ALLGEMEIN\0900 Veröffentlichungen\Veröffentlichungen-aktuell\2017 Advent</t>
  </si>
  <si>
    <t xml:space="preserve">Avent 2017</t>
  </si>
  <si>
    <t xml:space="preserve">Advent 2017 mit dem hl. Josef</t>
  </si>
  <si>
    <t xml:space="preserve">Avec saint Joseph « Laisser place à la Parole »</t>
  </si>
  <si>
    <t xml:space="preserve">Ite ad Joseph</t>
  </si>
  <si>
    <t xml:space="preserve">In diesem Jahr bieten Ihnen die Karmeliten Online-Exerzitien mit dem hl. Josef. Seit der hl. Teresa von Avila (1515-1582) hat Josef in der karmelitanischen Tradition einen wichtigen Platz. Teresa gab den meisten ihrer Klöster den hl. Josef zum Patron und empfahl ihren Mitschwestern, „unseren glorreichen Vater Josef“ als Meister des Gebetes anzurufen. 
Der hl. Josef hat eine wichtige Rolle in der Heilsgeschichte gespielt, obwohl er fast unbemerkt im Hintergrund blieb. Was kann man über ihn sagen, von dem die hl. Schrift kein einziges Wort überliefert hat? 
Der hl. Josef kann uns allerdings Vieles lehren. Er wird uns helfen, in die Stille des Advents einzutauchen, damit wir dem Wort Gottes – d.h. Seinem Sohn – Raum geben können. Unsere Exerzitien orientieren sich an der Bibel mit Hinzunahme der Tradition des Karmel – sie möchten uns helfen, Jesus aufzunehmen – das Wort Gottes, das von Josef und Maria großgezogen wurde.</t>
  </si>
  <si>
    <t xml:space="preserve">../img/AD17_header_FR.png</t>
  </si>
  <si>
    <t xml:space="preserve">../de/img/AD17_header_DE.jpg</t>
  </si>
  <si>
    <t xml:space="preserve">../img/AD17_header_ES.png</t>
  </si>
  <si>
    <t xml:space="preserve">../it/img/AD17_header_IT.png</t>
  </si>
  <si>
    <t xml:space="preserve">../img/AD17_header_EN.png</t>
  </si>
  <si>
    <t xml:space="preserve">../img/AD17_header_PL.png</t>
  </si>
  <si>
    <t xml:space="preserve">../img/AD17_header_AR.png</t>
  </si>
  <si>
    <t xml:space="preserve">../img/AD17_header_PT.png</t>
  </si>
  <si>
    <t xml:space="preserve">../img/AD17_header_ZH.png</t>
  </si>
  <si>
    <t xml:space="preserve">../img/AD17_header_CS.png</t>
  </si>
  <si>
    <t xml:space="preserve">../img/AD17_header_HR.png</t>
  </si>
  <si>
    <t xml:space="preserve">../img/AD17_header_HU.png</t>
  </si>
  <si>
    <t xml:space="preserve">../img/AD17_header_MT.png</t>
  </si>
  <si>
    <t xml:space="preserve">../img/AD17_header_NL.png</t>
  </si>
  <si>
    <t xml:space="preserve">../img/AD17_header_RO.png</t>
  </si>
  <si>
    <t xml:space="preserve">../img/AD17_header_VI.png</t>
  </si>
  <si>
    <t xml:space="preserve">lent-2017-elisabeth-der-dreifaltigkeit</t>
  </si>
  <si>
    <t xml:space="preserve">https://retraites.carmes-paris.org/careme-2017/careme-2017-st-jean-de-la-croix/</t>
  </si>
  <si>
    <t xml:space="preserve">2017_fastenzeit</t>
  </si>
  <si>
    <t xml:space="preserve">2017_cuaresma</t>
  </si>
  <si>
    <t xml:space="preserve">2017_quaresima</t>
  </si>
  <si>
    <t xml:space="preserve">2017_lent</t>
  </si>
  <si>
    <t xml:space="preserve">2017_wielki-post</t>
  </si>
  <si>
    <t xml:space="preserve">2017_al-sawm-al-kabir</t>
  </si>
  <si>
    <t xml:space="preserve">2017_quaresma</t>
  </si>
  <si>
    <t xml:space="preserve">2017_sixunqi</t>
  </si>
  <si>
    <t xml:space="preserve">2017_pust</t>
  </si>
  <si>
    <t xml:space="preserve">2017_korizma</t>
  </si>
  <si>
    <t xml:space="preserve">2017_nagybojt</t>
  </si>
  <si>
    <t xml:space="preserve">2017_randan</t>
  </si>
  <si>
    <t xml:space="preserve">2017_vastentijd</t>
  </si>
  <si>
    <t xml:space="preserve">2017_postul-mare</t>
  </si>
  <si>
    <t xml:space="preserve">2017_mua-chay</t>
  </si>
  <si>
    <t xml:space="preserve">Heilige Elisabeth von der Dreifaltigkeit</t>
  </si>
  <si>
    <t xml:space="preserve">X:\ALLGEMEIN\0900 Veröffentlichungen\Veröffentlichungen-aktuell\2017 Fasten</t>
  </si>
  <si>
    <t xml:space="preserve">Carême 2017</t>
  </si>
  <si>
    <t xml:space="preserve">KarmelExerzitien Online in der Fastenzeit 2017</t>
  </si>
  <si>
    <t xml:space="preserve">Avec Ste Élisabeth de la Trinité « Se désencombrer pour rayonner Dieu »</t>
  </si>
  <si>
    <t xml:space="preserve">Sich auf Ostern vorbereiten mit Elisabeth von der Dreifaltigkeit</t>
  </si>
  <si>
    <t xml:space="preserve">../img/FS17_header_FR.png</t>
  </si>
  <si>
    <t xml:space="preserve">../de/img/FS17_header_DE.jpg</t>
  </si>
  <si>
    <t xml:space="preserve">../img/FS17_header_ES.png</t>
  </si>
  <si>
    <t xml:space="preserve">../it/img/FS17_header_IT.png</t>
  </si>
  <si>
    <t xml:space="preserve">../img/FS17_header_EN.png</t>
  </si>
  <si>
    <t xml:space="preserve">../img/FS17_header_PL.png</t>
  </si>
  <si>
    <t xml:space="preserve">../img/FS17_header_AR.png</t>
  </si>
  <si>
    <t xml:space="preserve">../img/FS17_header_PT.png</t>
  </si>
  <si>
    <t xml:space="preserve">../img/FS17_header_ZH.png</t>
  </si>
  <si>
    <t xml:space="preserve">../img/FS17_header_CS.png</t>
  </si>
  <si>
    <t xml:space="preserve">../img/FS17_header_HR.png</t>
  </si>
  <si>
    <t xml:space="preserve">../img/FS17_header_HU.png</t>
  </si>
  <si>
    <t xml:space="preserve">../img/FS17_header_MT.png</t>
  </si>
  <si>
    <t xml:space="preserve">../img/FS17_header_NL.png</t>
  </si>
  <si>
    <t xml:space="preserve">../img/FS17_header_RO.png</t>
  </si>
  <si>
    <t xml:space="preserve">../img/FS17_header_VI.png</t>
  </si>
  <si>
    <t xml:space="preserve">advent-2016-josef-das-wort</t>
  </si>
  <si>
    <t xml:space="preserve">2016_advent</t>
  </si>
  <si>
    <t xml:space="preserve">2016_adviento</t>
  </si>
  <si>
    <t xml:space="preserve">2016_avvento</t>
  </si>
  <si>
    <t xml:space="preserve">2016_adwent</t>
  </si>
  <si>
    <t xml:space="preserve">2016_zaman-al-maji</t>
  </si>
  <si>
    <t xml:space="preserve">2016_advento</t>
  </si>
  <si>
    <t xml:space="preserve">2016_jianglinqi</t>
  </si>
  <si>
    <t xml:space="preserve">2016_dosasce</t>
  </si>
  <si>
    <t xml:space="preserve">2016_avvent</t>
  </si>
  <si>
    <t xml:space="preserve">2016_mua-vong</t>
  </si>
  <si>
    <t xml:space="preserve">Sel. Maria-Eugen vom Kinde Jesus OCD</t>
  </si>
  <si>
    <t xml:space="preserve">X:\ALLGEMEIN\0900 Veröffentlichungen\Veröffentlichungen-aktuell\2016 Advent</t>
  </si>
  <si>
    <t xml:space="preserve">Avent 2016</t>
  </si>
  <si>
    <t xml:space="preserve">Advent 2016 mit dem Sel. Maria-Eugen vom Kinde Jesus OCD</t>
  </si>
  <si>
    <t xml:space="preserve">../img/AD16_header_FR.png</t>
  </si>
  <si>
    <t xml:space="preserve">../de/img/AD16_header_DE.jpg</t>
  </si>
  <si>
    <t xml:space="preserve">../img/AD16_header_ES.png</t>
  </si>
  <si>
    <t xml:space="preserve">../it/img/AD16_header_IT.png</t>
  </si>
  <si>
    <t xml:space="preserve">../img/AD16_header_EN.png</t>
  </si>
  <si>
    <t xml:space="preserve">../img/AD16_header_PL.png</t>
  </si>
  <si>
    <t xml:space="preserve">../img/AD16_header_AR.png</t>
  </si>
  <si>
    <t xml:space="preserve">../img/AD16_header_PT.png</t>
  </si>
  <si>
    <t xml:space="preserve">../img/AD16_header_ZH.png</t>
  </si>
  <si>
    <t xml:space="preserve">../img/AD16_header_CS.png</t>
  </si>
  <si>
    <t xml:space="preserve">../img/AD16_header_HR.png</t>
  </si>
  <si>
    <t xml:space="preserve">../img/AD16_header_HU.png</t>
  </si>
  <si>
    <t xml:space="preserve">../img/AD16_header_MT.png</t>
  </si>
  <si>
    <t xml:space="preserve">../img/AD16_header_NL.png</t>
  </si>
  <si>
    <t xml:space="preserve">../img/AD16_header_RO.png</t>
  </si>
  <si>
    <t xml:space="preserve">../img/AD16_header_VI.png</t>
  </si>
  <si>
    <t xml:space="preserve">lent-2016-elija-lebensgott</t>
  </si>
  <si>
    <t xml:space="preserve">https://retraites.carmes-paris.org/careme-2016/careme-2016-st-jean-de-la-croix/</t>
  </si>
  <si>
    <t xml:space="preserve">2016_fastenzeit</t>
  </si>
  <si>
    <t xml:space="preserve">2016_cuaresma</t>
  </si>
  <si>
    <t xml:space="preserve">2016_quaresima</t>
  </si>
  <si>
    <t xml:space="preserve">2016_lent</t>
  </si>
  <si>
    <t xml:space="preserve">2016_wielki-post</t>
  </si>
  <si>
    <t xml:space="preserve">2016_al-sawm-al-kabir</t>
  </si>
  <si>
    <t xml:space="preserve">2016_quaresma</t>
  </si>
  <si>
    <t xml:space="preserve">2016_sixunqi</t>
  </si>
  <si>
    <t xml:space="preserve">2016_pust</t>
  </si>
  <si>
    <t xml:space="preserve">2016_korizma</t>
  </si>
  <si>
    <t xml:space="preserve">2016_nagybojt</t>
  </si>
  <si>
    <t xml:space="preserve">2016_randan</t>
  </si>
  <si>
    <t xml:space="preserve">2016_vastentijd</t>
  </si>
  <si>
    <t xml:space="preserve">2016_postul-mare</t>
  </si>
  <si>
    <t xml:space="preserve">2016_mua-chay</t>
  </si>
  <si>
    <t xml:space="preserve">Heiliger Elija</t>
  </si>
  <si>
    <t xml:space="preserve">X:\ALLGEMEIN\0900 Veröffentlichungen\Veröffentlichungen-aktuell\2016 Fasten</t>
  </si>
  <si>
    <t xml:space="preserve">Carême 2016</t>
  </si>
  <si>
    <t xml:space="preserve">Fastenzeit 2016 mit dem heiligen Elija</t>
  </si>
  <si>
    <t xml:space="preserve">Avec saint Élie – « Rencontrer le Dieu de vie »</t>
  </si>
  <si>
    <t xml:space="preserve">Vor dem Angesicht Gottes stehen</t>
  </si>
  <si>
    <t xml:space="preserve">So laden wir Sie ein, wirklich in das Wort Gottes einzutauchen, damit es Ihren Weg auf Ostern hin begleite, wie es das Leben des Propheten Elija geführt hat. Um tagsüber in der Atmosphäre der Exerzitien zu bleiben, möchten wir Sie sehr dazu ermutigen, sich den angegebenen Schriftvers einzuprägen. So können Sie ihn gemäß der östlichen Tradition des „Jesusgebets“ während des Tages innerlich wiederholen. Sich das Wort ins Gedächtnis zu rufen, es innerlich zu wiederholen, das bedeutet, in der Gegenwart Gottes zu bleiben, zu Hause wie unterwegs, bei der Erholung wie in der Arbeitszeit. Gott wohnt in unserem Herzen, wenn sein Wort in unserem Gedächtnis wohnt. Dieses Wort wirkt, wenn es vom Atem getragen wird. Gedächtnis und Atem wirken zusammen, damit das Wort Gottes im Laufe der Tage in uns Licht und Leben werde. Beginnen Sie gleich, indem Sie sich den sinnbildlichen Ausruf des Propheten Elija einprägen und „atmen“:</t>
  </si>
  <si>
    <t xml:space="preserve">../img/FS16_header_FR.png</t>
  </si>
  <si>
    <t xml:space="preserve">../de/img/FS16_header_DE.jpg</t>
  </si>
  <si>
    <t xml:space="preserve">../img/FS16_header_ES.png</t>
  </si>
  <si>
    <t xml:space="preserve">../it/img/FS16_header_IT.png</t>
  </si>
  <si>
    <t xml:space="preserve">../img/FS16_header_EN.png</t>
  </si>
  <si>
    <t xml:space="preserve">../img/FS16_header_PL.png</t>
  </si>
  <si>
    <t xml:space="preserve">../img/FS16_header_AR.png</t>
  </si>
  <si>
    <t xml:space="preserve">../img/FS16_header_PT.png</t>
  </si>
  <si>
    <t xml:space="preserve">../img/FS16_header_ZH.png</t>
  </si>
  <si>
    <t xml:space="preserve">../img/FS16_header_CS.png</t>
  </si>
  <si>
    <t xml:space="preserve">../img/FS16_header_HR.png</t>
  </si>
  <si>
    <t xml:space="preserve">../img/FS16_header_HU.png</t>
  </si>
  <si>
    <t xml:space="preserve">../img/FS16_header_MT.png</t>
  </si>
  <si>
    <t xml:space="preserve">../img/FS16_header_NL.png</t>
  </si>
  <si>
    <t xml:space="preserve">../img/FS16_header_RO.png</t>
  </si>
  <si>
    <t xml:space="preserve">../img/FS16_header_VI.png</t>
  </si>
  <si>
    <t xml:space="preserve">advent-2015-louis-und-zelie-martin</t>
  </si>
  <si>
    <t xml:space="preserve">2015_advent</t>
  </si>
  <si>
    <t xml:space="preserve">2015_adviento</t>
  </si>
  <si>
    <t xml:space="preserve">2015_avvento</t>
  </si>
  <si>
    <t xml:space="preserve">2015_adwent</t>
  </si>
  <si>
    <t xml:space="preserve">2015_zaman-al-maji</t>
  </si>
  <si>
    <t xml:space="preserve">2015_advento</t>
  </si>
  <si>
    <t xml:space="preserve">2015_jianglinqi</t>
  </si>
  <si>
    <t xml:space="preserve">2015_dosasce</t>
  </si>
  <si>
    <t xml:space="preserve">2015_avvent</t>
  </si>
  <si>
    <t xml:space="preserve">2015_mua-vong</t>
  </si>
  <si>
    <t xml:space="preserve">Louis Martin und Zélie Martin (Eltern der hl. Thérèse von Lisieux)</t>
  </si>
  <si>
    <t xml:space="preserve">X:\ALLGEMEIN\0900 Veröffentlichungen\Veröffentlichungen-aktuell\2015 Advent</t>
  </si>
  <si>
    <t xml:space="preserve">Avent 2015</t>
  </si>
  <si>
    <t xml:space="preserve">Advent 2015</t>
  </si>
  <si>
    <t xml:space="preserve">Avec Saints Louis et Zélie Martin « Accueillir la nouveauté de Dieu »</t>
  </si>
  <si>
    <t xml:space="preserve">Mit Louis und Zélie Martin – Eltern der hl. Thérèse von Lisieux</t>
  </si>
  <si>
    <t xml:space="preserve">Sie sind die Ersten! Louis und Zélie Martin, am vergangenen 18. Oktober heiliggesprochen, sind das erste Ehepaar der Geschichte, das gemeinsam, als Ehemann und Ehefrau, kanonisiert worden ist. Aber wer sind sie wirklich? Sind sie nur die Eltern der kleinen Thérèse, deren Leben uninteressant gewesen wäre, wenn es ihre berühmte Tochter nicht gegeben hätte? Oder sind sie im Gegenteil unnachahmliche Heilige? Worin kann ihr Glaubensleben für uns heute noch bedeutsam sein? Und schließlich: Welche Verbindung kann man zwischen diesem Ehepaar und der kommenden Weihnachtsgnade herstellen? Die verschiedenen Themen, die im Lauf der vier Adventssonntage angesprochen werden, beantworten diese Fragen. Wir werden im Laufe der Exerzitien nach und nach den Verlauf ihres Lebens kennenlernen. Doch schon jetzt können wir auf die letzte Frage antworten: Louis und Zélie haben wie Maria und Josef die Gabe dessen angenommen, der das Leben ist; sie haben die heiligende Gegenwart der Liebe angenommen. Ihr gemeinsames Leben, dem wir im Lauf der Online-Exerzitien chronologisch nachgehen werden, wird uns zeigen, wie sehr die Gnade von Weihnachten – das heißt die Gnade der Liebe, die kommt, um unter uns Fleisch anzunehmen – sich in einem Leben oder in einer Familie erneuert, die den alltäglichen Glauben der bescheidenen Familie von Nazaret teilt.</t>
  </si>
  <si>
    <t xml:space="preserve">../img/AD15_header_FR.png</t>
  </si>
  <si>
    <t xml:space="preserve">../de/img/AD15_header_DE.jpg</t>
  </si>
  <si>
    <t xml:space="preserve">../img/AD15_header_ES.png</t>
  </si>
  <si>
    <t xml:space="preserve">../it/img/AD15_header_IT.png</t>
  </si>
  <si>
    <t xml:space="preserve">../img/AD15_header_EN.png</t>
  </si>
  <si>
    <t xml:space="preserve">../img/AD15_header_PL.png</t>
  </si>
  <si>
    <t xml:space="preserve">../img/AD15_header_AR.png</t>
  </si>
  <si>
    <t xml:space="preserve">../img/AD15_header_PT.png</t>
  </si>
  <si>
    <t xml:space="preserve">../img/AD15_header_ZH.png</t>
  </si>
  <si>
    <t xml:space="preserve">../img/AD15_header_CS.png</t>
  </si>
  <si>
    <t xml:space="preserve">../img/AD15_header_HR.png</t>
  </si>
  <si>
    <t xml:space="preserve">../img/AD15_header_HU.png</t>
  </si>
  <si>
    <t xml:space="preserve">../img/AD15_header_MT.png</t>
  </si>
  <si>
    <t xml:space="preserve">../img/AD15_header_NL.png</t>
  </si>
  <si>
    <t xml:space="preserve">../img/AD15_header_RO.png</t>
  </si>
  <si>
    <t xml:space="preserve">../img/AD15_header_VI.png</t>
  </si>
  <si>
    <t xml:space="preserve">lent-2015-therese-von-avila</t>
  </si>
  <si>
    <t xml:space="preserve">https://retraites.carmes-paris.org/careme-2015/careme-2015-st-jean-de-la-croix/</t>
  </si>
  <si>
    <t xml:space="preserve">2015_fastenzeit</t>
  </si>
  <si>
    <t xml:space="preserve">2015_cuaresma</t>
  </si>
  <si>
    <t xml:space="preserve">2015_quaresima</t>
  </si>
  <si>
    <t xml:space="preserve">2015_lent</t>
  </si>
  <si>
    <t xml:space="preserve">2015_wielki-post</t>
  </si>
  <si>
    <t xml:space="preserve">2015_al-sawm-al-kabir</t>
  </si>
  <si>
    <t xml:space="preserve">2015_quaresma</t>
  </si>
  <si>
    <t xml:space="preserve">2015_sixunqi</t>
  </si>
  <si>
    <t xml:space="preserve">2015_pust</t>
  </si>
  <si>
    <t xml:space="preserve">2015_korizma</t>
  </si>
  <si>
    <t xml:space="preserve">2015_nagybojt</t>
  </si>
  <si>
    <t xml:space="preserve">2015_randan</t>
  </si>
  <si>
    <t xml:space="preserve">2015_vastentijd</t>
  </si>
  <si>
    <t xml:space="preserve">2015_postul-mare</t>
  </si>
  <si>
    <t xml:space="preserve">2015_mua-chay</t>
  </si>
  <si>
    <t xml:space="preserve">X:\ALLGEMEIN\0900 Veröffentlichungen\Veröffentlichungen-aktuell\2015 Fasten</t>
  </si>
  <si>
    <t xml:space="preserve">Carême 2015</t>
  </si>
  <si>
    <t xml:space="preserve">Fastenzeit 2015 mit Teresa von Avila</t>
  </si>
  <si>
    <t xml:space="preserve">Avec Ste Thérèse d’Ávila « Rencontrer le Dieu de vie »</t>
  </si>
  <si>
    <t xml:space="preserve">Auf dem Weg der Umkehr mit der hl. Teresa von Avila</t>
  </si>
  <si>
    <t xml:space="preserve">In diesem Jahr begehen wir das 500-jährige Jubiläum der Geburt der hl. Teresa von Ávila (1515–1582), Gründerin unseres Zweiges des Karmel.
Die Exerzitien werden sich mit der Umkehr der jungen Teresa befassen, die uns als Vorbild vorangegangen ist und uns durch diese Fastenzeit begleiten wird auf unserem persönlichen Weg der Umkehr.</t>
  </si>
  <si>
    <t xml:space="preserve">../img/FS15_header_FR.png</t>
  </si>
  <si>
    <t xml:space="preserve">../de/img/FS15_header_DE.jpg</t>
  </si>
  <si>
    <t xml:space="preserve">../img/FS15_header_ES.png</t>
  </si>
  <si>
    <t xml:space="preserve">../it/img/FS15_header_IT.png</t>
  </si>
  <si>
    <t xml:space="preserve">../img/FS15_header_EN.png</t>
  </si>
  <si>
    <t xml:space="preserve">../img/FS15_header_PL.png</t>
  </si>
  <si>
    <t xml:space="preserve">../img/FS15_header_AR.png</t>
  </si>
  <si>
    <t xml:space="preserve">../img/FS15_header_PT.png</t>
  </si>
  <si>
    <t xml:space="preserve">../img/FS15_header_ZH.png</t>
  </si>
  <si>
    <t xml:space="preserve">../img/FS15_header_CS.png</t>
  </si>
  <si>
    <t xml:space="preserve">../img/FS15_header_HR.png</t>
  </si>
  <si>
    <t xml:space="preserve">../img/FS15_header_HU.png</t>
  </si>
  <si>
    <t xml:space="preserve">../img/FS15_header_MT.png</t>
  </si>
  <si>
    <t xml:space="preserve">../img/FS15_header_NL.png</t>
  </si>
  <si>
    <t xml:space="preserve">../img/FS15_header_RO.png</t>
  </si>
  <si>
    <t xml:space="preserve">../img/FS15_header_VI.png</t>
  </si>
  <si>
    <t xml:space="preserve">advent-2014-jacques-de-jesus</t>
  </si>
  <si>
    <t xml:space="preserve">2014_advent</t>
  </si>
  <si>
    <t xml:space="preserve">2014_adviento</t>
  </si>
  <si>
    <t xml:space="preserve">2014_avvento</t>
  </si>
  <si>
    <t xml:space="preserve">2014_adwent</t>
  </si>
  <si>
    <t xml:space="preserve">2014_zaman-al-maji</t>
  </si>
  <si>
    <t xml:space="preserve">2014_advento</t>
  </si>
  <si>
    <t xml:space="preserve">2014_jianglinqi</t>
  </si>
  <si>
    <t xml:space="preserve">2014_dosasce</t>
  </si>
  <si>
    <t xml:space="preserve">2014_avvent</t>
  </si>
  <si>
    <t xml:space="preserve">2014_mua-vong</t>
  </si>
  <si>
    <t xml:space="preserve">X:\ALLGEMEIN\0900 Veröffentlichungen\Veröffentlichungen-aktuell\2014 Advent</t>
  </si>
  <si>
    <t xml:space="preserve">Avent 2014</t>
  </si>
  <si>
    <t xml:space="preserve">Licht in der Finsternis werden mit dem Karmeliten P. Jacques von Jesus OCD (1900-1945)</t>
  </si>
  <si>
    <t xml:space="preserve">Avec le Père Jacques de Jésus « Devenir lumière dans la nuit »</t>
  </si>
  <si>
    <t xml:space="preserve">Ich will Gott ausstrahlen...</t>
  </si>
  <si>
    <t xml:space="preserve">Der französische Karmelit P. Jacques wurde in Mauthausen-Gusen interniert, weil er 1943 jüdische Kinder in einer Schule der Karmeliten versteckt hatte. Er starb am 2. Juni 1945 im Spital der Elisabethinen in Linz.</t>
  </si>
  <si>
    <t xml:space="preserve">../img/AD14_header_FR.png</t>
  </si>
  <si>
    <t xml:space="preserve">../de/img/AD14_header_DE.jpg</t>
  </si>
  <si>
    <t xml:space="preserve">../img/AD14_header_ES.png</t>
  </si>
  <si>
    <t xml:space="preserve">../it/img/AD14_header_IT.png</t>
  </si>
  <si>
    <t xml:space="preserve">../img/AD14_header_EN.png</t>
  </si>
  <si>
    <t xml:space="preserve">../img/AD14_header_PL.png</t>
  </si>
  <si>
    <t xml:space="preserve">../img/AD14_header_AR.png</t>
  </si>
  <si>
    <t xml:space="preserve">../img/AD14_header_PT.png</t>
  </si>
  <si>
    <t xml:space="preserve">../img/AD14_header_ZH.png</t>
  </si>
  <si>
    <t xml:space="preserve">../img/AD14_header_CS.png</t>
  </si>
  <si>
    <t xml:space="preserve">../img/AD14_header_HR.png</t>
  </si>
  <si>
    <t xml:space="preserve">../img/AD14_header_HU.png</t>
  </si>
  <si>
    <t xml:space="preserve">../img/AD14_header_MT.png</t>
  </si>
  <si>
    <t xml:space="preserve">../img/AD14_header_NL.png</t>
  </si>
  <si>
    <t xml:space="preserve">../img/AD14_header_RO.png</t>
  </si>
  <si>
    <t xml:space="preserve">../img/AD14_header_VI.png</t>
  </si>
  <si>
    <t xml:space="preserve">lent-2014-therese-von-lisieux</t>
  </si>
  <si>
    <t xml:space="preserve">https://retraites.carmes-paris.org/careme-2014/careme-2014-st-jean-de-la-croix/</t>
  </si>
  <si>
    <t xml:space="preserve">2014_fastenzeit</t>
  </si>
  <si>
    <t xml:space="preserve">2014_cuaresma</t>
  </si>
  <si>
    <t xml:space="preserve">2014_quaresima</t>
  </si>
  <si>
    <t xml:space="preserve">2014_lent</t>
  </si>
  <si>
    <t xml:space="preserve">2014_wielki-post</t>
  </si>
  <si>
    <t xml:space="preserve">2014_al-sawm-al-kabir</t>
  </si>
  <si>
    <t xml:space="preserve">2014_quaresma</t>
  </si>
  <si>
    <t xml:space="preserve">2014_sixunqi</t>
  </si>
  <si>
    <t xml:space="preserve">2014_pust</t>
  </si>
  <si>
    <t xml:space="preserve">2014_korizma</t>
  </si>
  <si>
    <t xml:space="preserve">2014_nagybojt</t>
  </si>
  <si>
    <t xml:space="preserve">2014_randan</t>
  </si>
  <si>
    <t xml:space="preserve">2014_vastentijd</t>
  </si>
  <si>
    <t xml:space="preserve">2014_postul-mare</t>
  </si>
  <si>
    <t xml:space="preserve">2014_mua-chay</t>
  </si>
  <si>
    <t xml:space="preserve">X:\ALLGEMEIN\0900 Veröffentlichungen\Veröffentlichungen-aktuell\2014 Fasten</t>
  </si>
  <si>
    <t xml:space="preserve">Carême 2014</t>
  </si>
  <si>
    <t xml:space="preserve">Fastenzeit 2014</t>
  </si>
  <si>
    <t xml:space="preserve">Avec Ste Thérèse de Lisieux « Pratiquer la petite voie »</t>
  </si>
  <si>
    <t xml:space="preserve">"Ich habe großes Verlangen, all die Ereignisse unserer Tage einmal im Licht der Ewigkeit zu sehen. Denn das erkennt man doch immer klarer, wie blind wir für alles sind. Man staunt, wie verkehrt man vieles früher angesehen hat, und begeht doch im nächsten Augenblick wieder den Fehler, sich ein Urteil zu bilden, ohne dass man die nötigen Grundlagen dafür hat." Hl. Edith Stein</t>
  </si>
  <si>
    <t xml:space="preserve">../img/FS14_header_FR.png</t>
  </si>
  <si>
    <t xml:space="preserve">../de/img/FS14_header_DE.jpg</t>
  </si>
  <si>
    <t xml:space="preserve">../img/FS14_header_ES.png</t>
  </si>
  <si>
    <t xml:space="preserve">../it/img/FS14_header_IT.png</t>
  </si>
  <si>
    <t xml:space="preserve">../img/FS14_header_EN.png</t>
  </si>
  <si>
    <t xml:space="preserve">../img/FS14_header_PL.png</t>
  </si>
  <si>
    <t xml:space="preserve">../img/FS14_header_AR.png</t>
  </si>
  <si>
    <t xml:space="preserve">../img/FS14_header_PT.png</t>
  </si>
  <si>
    <t xml:space="preserve">../img/FS14_header_ZH.png</t>
  </si>
  <si>
    <t xml:space="preserve">../img/FS14_header_CS.png</t>
  </si>
  <si>
    <t xml:space="preserve">../img/FS14_header_HR.png</t>
  </si>
  <si>
    <t xml:space="preserve">../img/FS14_header_HU.png</t>
  </si>
  <si>
    <t xml:space="preserve">../img/FS14_header_MT.png</t>
  </si>
  <si>
    <t xml:space="preserve">../img/FS14_header_NL.png</t>
  </si>
  <si>
    <t xml:space="preserve">../img/FS14_header_RO.png</t>
  </si>
  <si>
    <t xml:space="preserve">../img/FS14_header_VI.png</t>
  </si>
  <si>
    <t xml:space="preserve">advent-2013-elisabeth-von-der-dreifaltigkeit</t>
  </si>
  <si>
    <t xml:space="preserve">2013_advent</t>
  </si>
  <si>
    <t xml:space="preserve">2013_adviento</t>
  </si>
  <si>
    <t xml:space="preserve">2013_avvento</t>
  </si>
  <si>
    <t xml:space="preserve">2013_adwent</t>
  </si>
  <si>
    <t xml:space="preserve">2013_zaman-al-maji</t>
  </si>
  <si>
    <t xml:space="preserve">2013_advento</t>
  </si>
  <si>
    <t xml:space="preserve">2013_jianglinqi</t>
  </si>
  <si>
    <t xml:space="preserve">2013_dosasce</t>
  </si>
  <si>
    <t xml:space="preserve">2013_avvent</t>
  </si>
  <si>
    <t xml:space="preserve">2013_mua-vong</t>
  </si>
  <si>
    <t xml:space="preserve">2013-11-29</t>
  </si>
  <si>
    <t xml:space="preserve">2013-12-25</t>
  </si>
  <si>
    <t xml:space="preserve">X:\ALLGEMEIN\0900 Veröffentlichungen\Veröffentlichungen-aktuell\2013 Advent</t>
  </si>
  <si>
    <t xml:space="preserve">Avent 2013</t>
  </si>
  <si>
    <t xml:space="preserve">Advent 2013: Vorbereitung auf Weihnachten mit Edith Stein</t>
  </si>
  <si>
    <t xml:space="preserve">Avec Élisabeth de la Trinité – « Désirer la venue du Seigneur »</t>
  </si>
  <si>
    <t xml:space="preserve">Gott ward ein Menschenkind, damit die Menschen Gotteskinder werden. (Hl. Edith Stein)</t>
  </si>
  <si>
    <t xml:space="preserve">Die Karmeliten in Wien geben für jede Woche im Advent einen Impuls zur Besinnung und täglich kurze Anregungen zum Gebet. Unsere Begleiterin ist die hl. Sr. Teresia Benedicta vom Kreuz (Edith Stein) mit ihren Texten über das Weihnachtsgeheimnis.</t>
  </si>
  <si>
    <t xml:space="preserve">../img/AD13_header_FR.png</t>
  </si>
  <si>
    <t xml:space="preserve">../de/img/AD13_header_DE.jpg</t>
  </si>
  <si>
    <t xml:space="preserve">../img/AD13_header_ES.png</t>
  </si>
  <si>
    <t xml:space="preserve">../it/img/AD13_header_IT.png</t>
  </si>
  <si>
    <t xml:space="preserve">../img/AD13_header_EN.png</t>
  </si>
  <si>
    <t xml:space="preserve">../img/AD13_header_PL.png</t>
  </si>
  <si>
    <t xml:space="preserve">../img/AD13_header_AR.png</t>
  </si>
  <si>
    <t xml:space="preserve">../img/AD13_header_PT.png</t>
  </si>
  <si>
    <t xml:space="preserve">../img/AD13_header_ZH.png</t>
  </si>
  <si>
    <t xml:space="preserve">../img/AD13_header_CS.png</t>
  </si>
  <si>
    <t xml:space="preserve">../img/AD13_header_HR.png</t>
  </si>
  <si>
    <t xml:space="preserve">../img/AD13_header_HU.png</t>
  </si>
  <si>
    <t xml:space="preserve">../img/AD13_header_MT.png</t>
  </si>
  <si>
    <t xml:space="preserve">../img/AD13_header_NL.png</t>
  </si>
  <si>
    <t xml:space="preserve">../img/AD13_header_RO.png</t>
  </si>
  <si>
    <t xml:space="preserve">../img/AD13_header_VI.png</t>
  </si>
  <si>
    <t xml:space="preserve">lent-2013-therese-von-avila-und-paulus</t>
  </si>
  <si>
    <t xml:space="preserve">https://retraites.carmes-paris.org/careme-2013/careme-2013-st-jean-de-la-croix/</t>
  </si>
  <si>
    <t xml:space="preserve">2013_fastenzeit</t>
  </si>
  <si>
    <t xml:space="preserve">2013_cuaresma</t>
  </si>
  <si>
    <t xml:space="preserve">2013_quaresima</t>
  </si>
  <si>
    <t xml:space="preserve">2013_lent</t>
  </si>
  <si>
    <t xml:space="preserve">2013_wielki-post</t>
  </si>
  <si>
    <t xml:space="preserve">2013_al-sawm-al-kabir</t>
  </si>
  <si>
    <t xml:space="preserve">2013_quaresma</t>
  </si>
  <si>
    <t xml:space="preserve">2013_sixunqi</t>
  </si>
  <si>
    <t xml:space="preserve">2013_pust</t>
  </si>
  <si>
    <t xml:space="preserve">2013_korizma</t>
  </si>
  <si>
    <t xml:space="preserve">2013_nagybojt</t>
  </si>
  <si>
    <t xml:space="preserve">2013_randan</t>
  </si>
  <si>
    <t xml:space="preserve">2013_vastentijd</t>
  </si>
  <si>
    <t xml:space="preserve">2013_postul-mare</t>
  </si>
  <si>
    <t xml:space="preserve">2013_mua-chay</t>
  </si>
  <si>
    <t xml:space="preserve">X:\ALLGEMEIN\0900 Veröffentlichungen\Veröffentlichungen-aktuell\2013 Fasten</t>
  </si>
  <si>
    <t xml:space="preserve">Carême 2013</t>
  </si>
  <si>
    <t xml:space="preserve">Fastenzeit 2013 mit der Hl. Edith Stein</t>
  </si>
  <si>
    <t xml:space="preserve">Avec sainte Thérèse d’Ávila et saint Paul</t>
  </si>
  <si>
    <t xml:space="preserve">../img/FS13_header_FR.png</t>
  </si>
  <si>
    <t xml:space="preserve">../de/img/FS13_header_DE.jpg</t>
  </si>
  <si>
    <t xml:space="preserve">../img/FS13_header_ES.png</t>
  </si>
  <si>
    <t xml:space="preserve">../it/img/FS13_header_IT.png</t>
  </si>
  <si>
    <t xml:space="preserve">../img/FS13_header_EN.png</t>
  </si>
  <si>
    <t xml:space="preserve">../img/FS13_header_PL.png</t>
  </si>
  <si>
    <t xml:space="preserve">../img/FS13_header_AR.png</t>
  </si>
  <si>
    <t xml:space="preserve">../img/FS13_header_PT.png</t>
  </si>
  <si>
    <t xml:space="preserve">../img/FS13_header_ZH.png</t>
  </si>
  <si>
    <t xml:space="preserve">../img/FS13_header_CS.png</t>
  </si>
  <si>
    <t xml:space="preserve">../img/FS13_header_HR.png</t>
  </si>
  <si>
    <t xml:space="preserve">../img/FS13_header_HU.png</t>
  </si>
  <si>
    <t xml:space="preserve">../img/FS13_header_MT.png</t>
  </si>
  <si>
    <t xml:space="preserve">../img/FS13_header_NL.png</t>
  </si>
  <si>
    <t xml:space="preserve">../img/FS13_header_RO.png</t>
  </si>
  <si>
    <t xml:space="preserve">../img/FS13_header_VI.png</t>
  </si>
  <si>
    <t xml:space="preserve">advent-2012-johannes-vom-kreuz</t>
  </si>
  <si>
    <t xml:space="preserve">2012_advent</t>
  </si>
  <si>
    <t xml:space="preserve">2012_adviento</t>
  </si>
  <si>
    <t xml:space="preserve">2012_avvento</t>
  </si>
  <si>
    <t xml:space="preserve">2012_adwent</t>
  </si>
  <si>
    <t xml:space="preserve">2012_zaman-al-maji</t>
  </si>
  <si>
    <t xml:space="preserve">2012_advento</t>
  </si>
  <si>
    <t xml:space="preserve">2012_jianglinqi</t>
  </si>
  <si>
    <t xml:space="preserve">2012_dosasce</t>
  </si>
  <si>
    <t xml:space="preserve">2012_avvent</t>
  </si>
  <si>
    <t xml:space="preserve">2012_mua-vong</t>
  </si>
  <si>
    <t xml:space="preserve">X:\ALLGEMEIN\0900 Veröffentlichungen\Veröffentlichungen-aktuell\2012 Advent</t>
  </si>
  <si>
    <t xml:space="preserve">Avent 2012</t>
  </si>
  <si>
    <t xml:space="preserve">Avec St Jean de la Croix – Cheminer vers la lumière de Bethléem</t>
  </si>
  <si>
    <t xml:space="preserve">../img/AD12_header_FR.png</t>
  </si>
  <si>
    <t xml:space="preserve">../de/img/AD12_header_DE.jpg</t>
  </si>
  <si>
    <t xml:space="preserve">../img/AD12_header_ES.png</t>
  </si>
  <si>
    <t xml:space="preserve">../it/img/AD12_header_IT.png</t>
  </si>
  <si>
    <t xml:space="preserve">../img/AD12_header_EN.png</t>
  </si>
  <si>
    <t xml:space="preserve">../img/AD12_header_PL.png</t>
  </si>
  <si>
    <t xml:space="preserve">../img/AD12_header_AR.png</t>
  </si>
  <si>
    <t xml:space="preserve">../img/AD12_header_PT.png</t>
  </si>
  <si>
    <t xml:space="preserve">../img/AD12_header_ZH.png</t>
  </si>
  <si>
    <t xml:space="preserve">../img/AD12_header_CS.png</t>
  </si>
  <si>
    <t xml:space="preserve">../img/AD12_header_HR.png</t>
  </si>
  <si>
    <t xml:space="preserve">../img/AD12_header_HU.png</t>
  </si>
  <si>
    <t xml:space="preserve">../img/AD12_header_MT.png</t>
  </si>
  <si>
    <t xml:space="preserve">../img/AD12_header_NL.png</t>
  </si>
  <si>
    <t xml:space="preserve">../img/AD12_header_RO.png</t>
  </si>
  <si>
    <t xml:space="preserve">../img/AD12_header_VI.png</t>
  </si>
  <si>
    <t xml:space="preserve">lent-2012-therese-benedikta-vom-kreuz</t>
  </si>
  <si>
    <t xml:space="preserve">https://retraites.carmes-paris.org/careme-2012/careme-2012-st-jean-de-la-croix/</t>
  </si>
  <si>
    <t xml:space="preserve">2012_fastenzeit</t>
  </si>
  <si>
    <t xml:space="preserve">2012_cuaresma</t>
  </si>
  <si>
    <t xml:space="preserve">2012_quaresima</t>
  </si>
  <si>
    <t xml:space="preserve">2012_lent</t>
  </si>
  <si>
    <t xml:space="preserve">2012_wielki-post</t>
  </si>
  <si>
    <t xml:space="preserve">2012_al-sawm-al-kabir</t>
  </si>
  <si>
    <t xml:space="preserve">2012_quaresma</t>
  </si>
  <si>
    <t xml:space="preserve">2012_sixunqi</t>
  </si>
  <si>
    <t xml:space="preserve">2012_pust</t>
  </si>
  <si>
    <t xml:space="preserve">2012_korizma</t>
  </si>
  <si>
    <t xml:space="preserve">2012_nagybojt</t>
  </si>
  <si>
    <t xml:space="preserve">2012_randan</t>
  </si>
  <si>
    <t xml:space="preserve">2012_vastentijd</t>
  </si>
  <si>
    <t xml:space="preserve">2012_postul-mare</t>
  </si>
  <si>
    <t xml:space="preserve">2012_mua-chay</t>
  </si>
  <si>
    <t xml:space="preserve">X:\ALLGEMEIN\0900 Veröffentlichungen\Veröffentlichungen-aktuell\2012 Fasten</t>
  </si>
  <si>
    <t xml:space="preserve">Carême 2012</t>
  </si>
  <si>
    <t xml:space="preserve">Fastenzeit 2012 mit der Hl. Edith Stein</t>
  </si>
  <si>
    <t xml:space="preserve">Avec Ste Thérèse-Bénédicte de la Croix (Edith Stein)</t>
  </si>
  <si>
    <t xml:space="preserve">Mit der heiligen Teresa-Benedicta vom Kreuz (Edith Stein)</t>
  </si>
  <si>
    <t xml:space="preserve">Jeden Tag in der Fastenzeit finden Sie auf der Homepage www.edithstein.karmel.at einen Impuls zur Besinnung mit Texten der hl. Edith Stein. Im Rahmen des Edith-Stein-Gedenkjahres 2011/2012 von den Marienschwestern vom Karmel erstellt.</t>
  </si>
  <si>
    <t xml:space="preserve">../de/img/FS12_header_DE.png</t>
  </si>
  <si>
    <t xml:space="preserve">Slug</t>
  </si>
  <si>
    <t xml:space="preserve">Title</t>
  </si>
  <si>
    <t xml:space="preserve">Motto</t>
  </si>
  <si>
    <t xml:space="preserve">test motto</t>
  </si>
  <si>
    <t xml:space="preserve">Description</t>
  </si>
  <si>
    <t xml:space="preserve">test descr</t>
  </si>
  <si>
    <t xml:space="preserve">img src</t>
  </si>
  <si>
    <t xml:space="preserve">test src</t>
  </si>
  <si>
    <t xml:space="preserve">Start date</t>
  </si>
  <si>
    <t xml:space="preserve">End Date</t>
  </si>
  <si>
    <t xml:space="preserve">&lt;!doctype html&gt;&lt;html lang="de"&gt;  &lt;head&gt;    &lt;meta charset="UTF-8" /&gt;    &lt;meta name="viewport" content="width=device-width, initial-scale=1.0" /&gt;    &lt;title&gt;Fastenzeit 2026 mit Johannes vom Kreuz&lt;/title&gt;</t>
  </si>
  <si>
    <t xml:space="preserve">    &lt;link rel="preconnect" href="https://fonts.googleapis.com" /&gt;    &lt;link rel="preconnect" href="https://fonts.gstatic.com" crossorigin /&gt;    &lt;link      href="https://fonts.googleapis.com/css2?family=Cormorant+Garamond:wght@500;600;700&amp;family=Inter:wght@400;500;600;700&amp;display=swap"      rel="stylesheet"    /&gt;    &lt;link rel="stylesheet" href="../style.css" /&gt;  &lt;/head&gt;  &lt;body&gt;    &lt;a class="skip-link" href="#main"&gt;Zum Inhalt springen&lt;/a&gt;&lt;header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class="brand-kicker"&gt;Discalced Carmelites&lt;/span&gt;            &lt;span class="brand-name"&gt;Online Retreat&lt;/span&gt;          &lt;/span&gt;        &lt;/a&gt;&lt;div class="header-actions"&gt;  &lt;nav class="main-nav" id="main-navigation" aria-label="Hauptnavigation"&gt;        &lt;ul&gt;          &lt;li&gt;&lt;a href="../index.html"&gt;&lt;span class="material-symbols-outlined"&gt;home&lt;/span&gt;&lt;/a&gt;&lt;/li&gt;          &lt;li&gt;&lt;a href="../index.html#signup-panel"&gt;Register&lt;/a&gt;&lt;/li&gt;          &lt;li&gt;&lt;a href="../index.html#aktuelleExerzitien"&gt;Current Retreat&lt;/a&gt;&lt;/li&gt;          &lt;li&gt;&lt;a href="../index.html#saints-cards"&gt;Saints&lt;/a&gt;&lt;/li&gt;          &lt;li&gt;&lt;a href="../index.html#archiv-cards"&gt;Archive&lt;/a&gt;&lt;/li&gt;        &lt;/ul&gt;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&lt;span&gt;EN&lt;/span&gt;      &lt;span class="language-menu__current"&gt;English&lt;/span&gt;    &lt;/summary&gt;</t>
  </si>
  <si>
    <t xml:space="preserve">    &lt;link rel="preconnect" href="https://fonts.googleapis.com" /&gt;    &lt;link rel="preconnect" href="https://fonts.gstatic.com" crossorigin /&gt;    &lt;link      href="https://fonts.googleapis.com/css2?family=Cormorant+Garamond:wght@500;600;700&amp;family=Inter:wght@400;500;600;700&amp;display=swap"      rel="stylesheet"    /&gt;    &lt;link rel="stylesheet" href="../style.css" /&gt;  &lt;/head&gt;  &lt;body&gt;    &lt;a class="skip-link" href="#main"&gt;Zum Inhalt springen&lt;/a&gt;&lt;header class="moving-banner" aria-label="Decorative animated banner"&gt;  &lt;div class="moving-banner__track"&gt;    &lt;img src="../img/website_banner_wide_e.webp" alt=""&gt;    &lt;img src="../img/website_banner_wide_e.webp" alt="" aria-hidden="true"&gt;  &lt;/div&gt;    &lt;/header&gt;      &lt;nav class="header-inner"&gt;        &lt;a href="#" class="brand" aria-label="Startseite"&gt;          &lt;span class="brand-mark" aria-hidden="true"&gt;&lt;img src="../img/apple-touch-icon.png" style="border-radius: var(--radius-lg)"&gt;&lt;/span&gt;          &lt;span class="brand-text"&gt;            &lt;span class="brand-kicker"&gt;Discalced Carmelites&lt;/span&gt;            &lt;span class="brand-name"&gt;Online Retreat&lt;/span&gt;          &lt;/span&gt;        &lt;/a&gt;&lt;div class="header-actions"&gt;  &lt;nav class="main-nav" id="main-navigation" aria-label="Hauptnavigation"&gt;        &lt;ul&gt;          &lt;li&gt;&lt;a href="../index.html"&gt;&lt;span class="material-symbols-outlined"&gt;home&lt;/span&gt;&lt;/a&gt;&lt;/li&gt;          &lt;li&gt;&lt;a href="../index.html#signup-panel"&gt;Register&lt;/a&gt;&lt;/li&gt;          &lt;li&gt;&lt;a href="../index.html#aktuelleExerzitien"&gt;Current Retreat&lt;/a&gt;&lt;/li&gt;          &lt;li&gt;&lt;a href="../index.html#saints-cards"&gt;Saints&lt;/a&gt;&lt;/li&gt;          &lt;li&gt;&lt;a href="../index.html#archiv-cards"&gt;Archive&lt;/a&gt;&lt;/li&gt;    &lt;li&gt;&lt;a href="../index.html#faq"&gt;FAQ&lt;/a&gt;&lt;/li&gt;   &lt;li&gt;&lt;a href="../index.html#about-us"&gt;About the Discalced Carmelites&lt;/a&gt;&lt;/li&gt; &lt;/ul&gt;                &lt;button class="font-decrease theme-toggle" type="button" data-font-decrease aria-label="Schriftgröße verkleinern"&gt;          A-        &lt;/button&gt;          &lt;button class="font-reset theme-toggle" type="button" data-font-reset aria-label="Schriftgröße zurücksetzen"&gt;          A        &lt;/button&gt;        &lt;button class="font-increase theme-toggle" type="button" data-font-increase aria-label="Schriftgröße vergrößern"&gt;          A+        &lt;/button&gt;        &lt;button class="theme-toggle" type="button" data-theme-toggle aria-label="Farbschema wechseln"&gt;          &lt;span class="theme-toggle__icon" aria-hidden="true"&gt;◐&lt;/span&gt;        &lt;/button&gt;      &lt;/nav&gt;          &lt;button class="nav-toggle" type="button" aria-expanded="false" aria-controls="main-navigation" aria-label="Menü öffnen"&gt;          &lt;span&gt;&lt;/span&gt;          &lt;span&gt;&lt;/span&gt;          &lt;span&gt;&lt;/span&gt;        &lt;/button&gt;  &lt;details class="language-menu"&gt;    &lt;summary class="language-menu__trigger" aria-label="Sprache auswählen"&gt;      &lt;span aria-hidden="true"&gt;🌐&lt;/span&gt;      &lt;span&gt;EN&lt;/span&gt;      &lt;span class="language-menu__current"&gt;English&lt;/span&gt;    &lt;/summary&gt;</t>
  </si>
  <si>
    <t xml:space="preserve">    &lt;nav class="language-menu__list" aria-label="Sprachauswahl"&gt;      &lt;a href="https://retraites.carmes-paris.org/" lang="fr" hreflang="fr"&gt;        &lt;span class="language-flag" aria-hidden="true"&gt;🇫🇷&lt;/span&gt;        &lt;span class="language-code"&gt;FR&lt;/span&gt;        &lt;span&gt;Français&lt;/span&gt;      &lt;/a&gt;</t>
  </si>
  <si>
    <t xml:space="preserve">      &lt;a href="https://exerzitien-online.karmel.at/" lang="de" hreflang="de" aria-current="page"&gt;        &lt;span class="language-flag" aria-hidden="true"&gt;🇦🇹🇩🇪&lt;/span&gt;        &lt;span class="language-code"&gt;DE&lt;/span&gt;        &lt;span&gt;Deutsch&lt;/span&gt;&lt;/a&gt;</t>
  </si>
  <si>
    <r>
      <rPr>
        <sz val="10"/>
        <rFont val="Times New Roman"/>
        <family val="1"/>
      </rPr>
      <t xml:space="preserve">      &lt;a href="</t>
    </r>
    <r>
      <rPr>
        <sz val="10"/>
        <color rgb="FF0000FF"/>
        <rFont val="Times New Roman"/>
        <family val="1"/>
      </rPr>
      <t xml:space="preserve">https://retiro-online.karmel.at/</t>
    </r>
    <r>
      <rPr>
        <sz val="10"/>
        <rFont val="Times New Roman"/>
        <family val="1"/>
      </rPr>
      <t xml:space="preserve">" lang="es" hreflang="es"&gt;        &lt;span class="language-flag" aria-hidden="true"&gt;🇪🇸&lt;/span&gt;        &lt;span class="language-code"&gt;ES&lt;/span&gt;        &lt;span&gt;Español&lt;/span&gt;      &lt;/a&gt;</t>
    </r>
  </si>
  <si>
    <r>
      <rPr>
        <sz val="10"/>
        <rFont val="Times New Roman"/>
        <family val="1"/>
      </rPr>
      <t xml:space="preserve">      &lt;a href="</t>
    </r>
    <r>
      <rPr>
        <sz val="10"/>
        <color rgb="FF0000FF"/>
        <rFont val="Times New Roman"/>
        <family val="1"/>
      </rPr>
      <t xml:space="preserve">https://esercizi-online.karmel.at/</t>
    </r>
    <r>
      <rPr>
        <sz val="10"/>
        <rFont val="Times New Roman"/>
        <family val="1"/>
      </rPr>
      <t xml:space="preserve">" lang="it" hreflang="it"&gt;        &lt;span class="language-flag" aria-hidden="true"&gt;🇮🇹&lt;/span&gt;        &lt;span class="language-code"&gt;IT&lt;/span&gt;        &lt;span&gt;Italiano&lt;/span&gt;      &lt;/a&gt;</t>
    </r>
  </si>
  <si>
    <t xml:space="preserve">      &lt;a href="" lang="en" hreflang="en"&gt;        &lt;span class="language-flag" aria-hidden="true"&gt;🇬🇧🇺🇸&lt;/span&gt;        &lt;span class="language-code"&gt;EN&lt;/span&gt;        &lt;span&gt;English&lt;/span&gt;  &lt;span class="language-check" aria-hidden="true"&gt;✓&lt;/span&gt;    &lt;/a&gt;</t>
  </si>
  <si>
    <r>
      <rPr>
        <sz val="10"/>
        <rFont val="Times New Roman"/>
        <family val="1"/>
      </rPr>
      <t xml:space="preserve">      &lt;a href="</t>
    </r>
    <r>
      <rPr>
        <sz val="10"/>
        <color rgb="FF0000FF"/>
        <rFont val="Times New Roman"/>
        <family val="1"/>
      </rPr>
      <t xml:space="preserve">https://rekolekcje-online.karmel.at/</t>
    </r>
    <r>
      <rPr>
        <sz val="10"/>
        <rFont val="Times New Roman"/>
        <family val="1"/>
      </rPr>
      <t xml:space="preserve">" lang="pl" hreflang="pl"&gt;        &lt;span class="language-flag" aria-hidden="true"&gt;🇵🇱&lt;/span&gt;        &lt;span class="language-code"&gt;PL&lt;/span&gt;        &lt;span&gt;Polski&lt;/span&gt;      &lt;/a&gt;</t>
    </r>
  </si>
  <si>
    <r>
      <rPr>
        <sz val="10"/>
        <rFont val="Times New Roman"/>
        <family val="1"/>
      </rPr>
      <t xml:space="preserve">      &lt;a href="</t>
    </r>
    <r>
      <rPr>
        <sz val="10"/>
        <color rgb="FF0000FF"/>
        <rFont val="Times New Roman"/>
        <family val="1"/>
      </rPr>
      <t xml:space="preserve">https://retraite-arabe.karmel.at/</t>
    </r>
    <r>
      <rPr>
        <sz val="10"/>
        <rFont val="Times New Roman"/>
        <family val="1"/>
      </rPr>
      <t xml:space="preserve">" lang="ar" hreflang="ar" dir="rtl"&gt;        &lt;span class="language-flag" aria-hidden="true"&gt;🇱🇧🇸🇦&lt;/span&gt;        &lt;span class="language-code"&gt;AR&lt;/span&gt;        &lt;span&gt;</t>
    </r>
    <r>
      <rPr>
        <sz val="10"/>
        <rFont val="Tahoma"/>
        <family val="2"/>
      </rPr>
      <t xml:space="preserve">العربية</t>
    </r>
    <r>
      <rPr>
        <sz val="10"/>
        <rFont val="Times New Roman"/>
        <family val="1"/>
      </rPr>
      <t xml:space="preserve">&lt;/span&gt;      &lt;/a&gt;</t>
    </r>
  </si>
  <si>
    <t xml:space="preserve">      &lt;a href="" lang="https://webretiro.karmel.at/" hreflang="pt"&gt;        &lt;span class="language-flag" aria-hidden="true"&gt;🇵🇹&lt;/span&gt;        &lt;span class="language-code"&gt;PT&lt;/span&gt;        &lt;span&gt;Português&lt;/span&gt;      &lt;/a&gt;</t>
  </si>
  <si>
    <r>
      <rPr>
        <sz val="10"/>
        <rFont val="Times New Roman"/>
        <family val="1"/>
      </rPr>
      <t xml:space="preserve">      &lt;a href="</t>
    </r>
    <r>
      <rPr>
        <sz val="10"/>
        <color rgb="FF0000FF"/>
        <rFont val="Times New Roman"/>
        <family val="1"/>
      </rPr>
      <t xml:space="preserve">https://zaixian-tuixing.karmel.at/</t>
    </r>
    <r>
      <rPr>
        <sz val="10"/>
        <rFont val="Times New Roman"/>
        <family val="1"/>
      </rPr>
      <t xml:space="preserve">" lang="zh" hreflang="zh"&gt;        &lt;span class="language-flag" aria-hidden="true"&gt;🇨🇳&lt;/span&gt;        &lt;span class="language-code"&gt;ZH&lt;/span&gt;        &lt;span&gt;</t>
    </r>
    <r>
      <rPr>
        <sz val="10"/>
        <rFont val="Segoe UI"/>
        <family val="2"/>
      </rPr>
      <t xml:space="preserve">中文</t>
    </r>
    <r>
      <rPr>
        <sz val="10"/>
        <rFont val="Times New Roman"/>
        <family val="1"/>
      </rPr>
      <t xml:space="preserve">&lt;/span&gt;      &lt;/a&gt;</t>
    </r>
  </si>
  <si>
    <t xml:space="preserve">      &lt;a href="https://exercicie-online.karmel.at/" lang="cs" hreflang="cs"&gt;        &lt;span class="language-flag" aria-hidden="true"&gt;🇨🇿&lt;/span&gt;        &lt;span class="language-code"&gt;CS&lt;/span&gt;        &lt;span&gt;Čeština&lt;/span&gt;      &lt;/a&gt;</t>
  </si>
  <si>
    <r>
      <rPr>
        <sz val="10"/>
        <rFont val="Times New Roman"/>
        <family val="1"/>
      </rPr>
      <t xml:space="preserve">      &lt;a href="</t>
    </r>
    <r>
      <rPr>
        <sz val="10"/>
        <color rgb="FF0000FF"/>
        <rFont val="Times New Roman"/>
        <family val="1"/>
      </rPr>
      <t xml:space="preserve">https://online-duhovne.karmel.at/</t>
    </r>
    <r>
      <rPr>
        <sz val="10"/>
        <rFont val="Times New Roman"/>
        <family val="1"/>
      </rPr>
      <t xml:space="preserve">" lang="hr" hreflang="hr"&gt;        &lt;span class="language-flag" aria-hidden="true"&gt;🇭🇷&lt;/span&gt;        &lt;span class="language-code"&gt;HR&lt;/span&gt;        &lt;span&gt;Hrvatski&lt;/span&gt;      &lt;/a&gt;</t>
    </r>
  </si>
  <si>
    <r>
      <rPr>
        <sz val="10"/>
        <rFont val="Times New Roman"/>
        <family val="1"/>
      </rPr>
      <t xml:space="preserve">      &lt;a href="</t>
    </r>
    <r>
      <rPr>
        <sz val="10"/>
        <color rgb="FF0000FF"/>
        <rFont val="Times New Roman"/>
        <family val="1"/>
      </rPr>
      <t xml:space="preserve">https://online-lelkigyakorlat.karmel.at/</t>
    </r>
    <r>
      <rPr>
        <sz val="10"/>
        <rFont val="Times New Roman"/>
        <family val="1"/>
      </rPr>
      <t xml:space="preserve">" lang="hu" hreflang="hu"&gt;        &lt;span class="language-flag" aria-hidden="true"&gt;🇭🇺&lt;/span&gt;        &lt;span class="language-code"&gt;HU&lt;/span&gt;        &lt;span&gt;Magyar&lt;/span&gt;      &lt;/a&gt;</t>
    </r>
  </si>
  <si>
    <r>
      <rPr>
        <sz val="10"/>
        <rFont val="Times New Roman"/>
        <family val="1"/>
      </rPr>
      <t xml:space="preserve">      &lt;a href="</t>
    </r>
    <r>
      <rPr>
        <sz val="10"/>
        <color rgb="FF0000FF"/>
        <rFont val="Times New Roman"/>
        <family val="1"/>
      </rPr>
      <t xml:space="preserve">https://irtir-karmelitan-onlajn.karmel.at/</t>
    </r>
    <r>
      <rPr>
        <sz val="10"/>
        <rFont val="Times New Roman"/>
        <family val="1"/>
      </rPr>
      <t xml:space="preserve">" lang="mt" hreflang="mt"&gt;        &lt;span class="language-flag" aria-hidden="true"&gt;🇲🇹&lt;/span&gt;        &lt;span class="language-code"&gt;MT&lt;/span&gt;        &lt;span&gt;Malti&lt;/span&gt;      &lt;/a&gt;</t>
    </r>
  </si>
  <si>
    <r>
      <rPr>
        <sz val="10"/>
        <rFont val="Times New Roman"/>
        <family val="1"/>
      </rPr>
      <t xml:space="preserve">      &lt;a href="</t>
    </r>
    <r>
      <rPr>
        <sz val="10"/>
        <color rgb="FF0000FF"/>
        <rFont val="Times New Roman"/>
        <family val="1"/>
      </rPr>
      <t xml:space="preserve">https://retraitenl.karmel.at/</t>
    </r>
    <r>
      <rPr>
        <sz val="10"/>
        <rFont val="Times New Roman"/>
        <family val="1"/>
      </rPr>
      <t xml:space="preserve">" lang="nl" hreflang="nl"&gt;        &lt;span class="language-flag" aria-hidden="true"&gt;🇳🇱&lt;/span&gt;        &lt;span class="language-code"&gt;NL&lt;/span&gt;        &lt;span&gt;Nederlands&lt;/span&gt;      &lt;/a&gt;</t>
    </r>
  </si>
  <si>
    <r>
      <rPr>
        <sz val="10"/>
        <rFont val="Times New Roman"/>
        <family val="1"/>
      </rPr>
      <t xml:space="preserve">      &lt;a href="</t>
    </r>
    <r>
      <rPr>
        <sz val="10"/>
        <color rgb="FF0000FF"/>
        <rFont val="Times New Roman"/>
        <family val="1"/>
      </rPr>
      <t xml:space="preserve">https://reculegere-online.karmel.at/</t>
    </r>
    <r>
      <rPr>
        <sz val="10"/>
        <rFont val="Times New Roman"/>
        <family val="1"/>
      </rPr>
      <t xml:space="preserve">" lang="ro" hreflang="ro"&gt;        &lt;span class="language-flag" aria-hidden="true"&gt;🇷🇴&lt;/span&gt;        &lt;span class="language-code"&gt;RO&lt;/span&gt;        &lt;span&gt;Română&lt;/span&gt;      &lt;/a&gt;</t>
    </r>
  </si>
  <si>
    <r>
      <rPr>
        <sz val="10"/>
        <rFont val="Times New Roman"/>
        <family val="1"/>
      </rPr>
      <t xml:space="preserve">      &lt;a href="</t>
    </r>
    <r>
      <rPr>
        <sz val="10"/>
        <color rgb="FF0000FF"/>
        <rFont val="Times New Roman"/>
        <family val="1"/>
      </rPr>
      <t xml:space="preserve">https://tinh-tam-cat-minh.karmel.at/</t>
    </r>
    <r>
      <rPr>
        <sz val="10"/>
        <rFont val="Times New Roman"/>
        <family val="1"/>
      </rPr>
      <t xml:space="preserve">" lang="vi" hreflang="vi"&gt;        &lt;span class="language-flag" aria-hidden="true"&gt;🇻🇳&lt;/span&gt;        &lt;span class="language-code"&gt;VI&lt;/span&gt;        &lt;span&gt;Tiếng Việt&lt;/span&gt;      &lt;/a&gt;    &lt;/nav&gt;  &lt;/details&gt;&lt;/div&gt;      &lt;/nav&gt;</t>
    </r>
  </si>
  <si>
    <t xml:space="preserve">    &lt;main id="main"&gt;      &lt;section class="section"&gt;        &lt;div class="container hero-grid-1col"&gt;</t>
  </si>
  <si>
    <t xml:space="preserve">          &lt;h1&gt;„Christus in der Tiefe des Herzens begegnen”&lt;/h1&gt;          &lt;h2&gt;Fastenzeit 2026 mit dem heiligen Johannes vom Kreuz&lt;/h2&gt;&lt;h3&gt;Vom 18. Februar bis 5. April 2026&lt;/h3&gt;&lt;p&gt;&lt;/p&gt;</t>
  </si>
  <si>
    <t xml:space="preserve">&lt;div class="image-zoom"&gt;            &lt;img src="../img/FS26_header_DE.png" alt=""&gt;          &lt;/div&gt;&lt;/div&gt;      &lt;/section&gt;</t>
  </si>
  <si>
    <t xml:space="preserve">      &lt;section class="section section-archive" aria-labelledby="archiv-titel" id="weeks-cards"&gt;        &lt;div class="container"&gt;          &lt;div class="section-head"&gt;            &lt;p class="section-label"&gt;Impulse&lt;/p&gt;            &lt;h2&gt;Die wöchentlichen Meditationen der Exerzitien&lt;/h2&gt;          &lt;/div&gt;</t>
  </si>
  <si>
    <t xml:space="preserve">      &lt;section class="section section-archive" aria-labelledby="archiv-titel" id="weeks-cards"&gt;        &lt;div class="container"&gt;          &lt;div class="section-head"&gt;            &lt;p class="section-label"&gt;Reflections&lt;/p&gt;            &lt;h2&gt;The weekly meditations of the week&lt;/h2&gt;          &lt;/div&gt;</t>
  </si>
  <si>
    <t xml:space="preserve">             &lt;div class="archive-grid" id="weeks-grid" data-json="../data/exerzitien/inhalt/2026_fs_de-inhalt.json"&gt;              The reflections will appear here, once they have been published…      &lt;!-- wird per JavaScript gefüllt --&gt;    &lt;/div&gt;        &lt;/div&gt;      &lt;/section&gt;</t>
  </si>
  <si>
    <t xml:space="preserve">             &lt;div class="archive-grid" id="weeks-grid" data-json="../data/exerzitien/inhalt/2026_advent_en-content.json"&gt;              Die Impulse werden hier erscheinen, wenn sie veröffentlicht sind...      &lt;!-- wird per JavaScript gefüllt --&gt;    &lt;/div&gt;        &lt;/div&gt;      &lt;/section&gt;</t>
  </si>
  <si>
    <t xml:space="preserve">      &lt;section class="section section-intro"&gt;        &lt;div class="container hero-grid-1col"&gt;&lt;div class="signup-panel"&gt;            &lt;p class="eyebrow"&gt;Registration&lt;/p&gt;            &lt;h1&gt;Sign up for the online retreat here&lt;/h1&gt;            &lt;p class="lead"&gt;             Receive the reflections from the retreat directly by email and let Carmelite Spirituality guide your journey through Advent or Lent.            &lt;/p&gt;</t>
  </si>
  <si>
    <t xml:space="preserve">            &lt;div              class="form-placeholder"              aria-label="Platzhalter für Anmeldeformular"            &gt;                             &lt;div class="embed-box"&gt;                  &lt;section class="section intro" id="abonniere"&gt;&lt;div id="mc_embed_shell"&gt;  &lt;div id="mc_embed_signup"&gt;    &lt;form action="https://karmel.us6.list-manage.com/subscribe/post?u=7c9d2aa0ecc1fde64fd44bc67&amp;amp;id=10430a5833&amp;amp;f_id=009254e3f0" method="post" id="mc-embedded-subscribe-form" name="mc-embedded-subscribe-form" class="validate" target="_self" novalidate=""&gt;        &lt;div id="mc_embed_signup_scroll"&gt;            &lt;div class="mc-field-group"&gt;&lt;label for="mce-EMAIL"&gt;eMail Adresse&lt;span class="asterisk"&gt;* (erforderlich)&lt;/span&gt;&lt;/label&gt;              &lt;input type="email" name="EMAIL" class="required email" id="mce-EMAIL" required="" value=""&gt;&lt;/div&gt;              &lt;div class="mc-field-group"&gt;&lt;label for="mce-FNAME"&gt;Vorname &lt;/label&gt;                &lt;input type="text" name="FNAME" class=" text" id="mce-FNAME" value=""&gt;&lt;/div&gt;                &lt;div class="mc-field-group"&gt;&lt;label for="mce-LNAME"&gt;Nachname &lt;/label&gt;                  &lt;input type="text" name="LNAME" class=" text" id="mce-LNAME" value=""&gt;&lt;/div&gt;                    &lt;div class="mc-field-group input-group"&gt;                        &lt;strong&gt;Ich interessiere auch mich für:&lt;/strong&gt;                        &lt;ul class="interest-group" style="text-align: left;"&gt;                        &lt;li&gt;&lt;input type="checkbox" name="group[16777][64]" id="mce-group[16777]-16777-0" value=""&gt;&lt;label for="mce-group[16777]-16777-0"&gt;alle Veranstaltungen des Karmel in Österreich&lt;/label&gt;&lt;/li&gt;                          &lt;details class="option-group"&gt;&lt;summary&gt;Orte und Formate einschränken&lt;/summary&gt;                            &lt;ul&gt;                        &lt;li&gt;&lt;input type="checkbox" name="group[16777][512]" id="mce-group[16777]-16777-1" value="" &gt;&lt;label for="mce-group[16777]-16777-1"&gt;in Wien&lt;/label&gt;&lt;/li&gt;                        &lt;li&gt;&lt;input type="checkbox" name="group[16777][1024]" id="mce-group[16777]-16777-2" value="" &gt;&lt;label for="mce-group[16777]-16777-2"&gt;in Linz&lt;/label&gt;&lt;/li&gt;                        &lt;li&gt;&lt;input type="checkbox" name="group[16777][2048]" id="mce-group[16777]-16777-3" value="" &gt;&lt;label for="mce-group[16777]-16777-3"&gt;in Graz&lt;/label&gt;&lt;/li&gt;                        &lt;li&gt;&lt;input type="checkbox" name="group[16777][524288]" id="mce-group[16777]-16777-4" value=""&gt;&lt;label for="mce-group[16777]-16777-4"&gt;online&lt;/label&gt;&lt;/li&gt;                      &lt;/ul&gt;                      &lt;/details&gt;                        &lt;li&gt;&lt;input type="checkbox" name="group[16777][256]" id="mce-group[16777]-16777-5" value=""&gt;&lt;label for="mce-group[16777]-16777-5"&gt;Infos/Veranstaltungen der Edith Stein Gesellschaft&lt;/label&gt;&lt;/li&gt;                        &lt;details class="option-group"&gt;&lt;summary&gt;Novenen und Exerzitien auswählen&lt;/summary&gt;                          &lt;ul&gt;                        &lt;li&gt;&lt;input type="checkbox" name="group[16777][128]" id="mce-group[16777]-16777-6" value=""&gt;&lt;label for="mce-group[16777]-16777-6"&gt;Friedensgebet/Novene Hl. Edith Stein&lt;/label&gt;&lt;/li&gt;                        &lt;li style="display:none"&gt;&lt;input type="checkbox" name="group[16777][32]" id="mce-group[16777]-16777-7" value="" checked&gt;&lt;label for="mce-group[16777]-16777-7"&gt;Exerzitien Online in Advent/Fastenzeit&lt;/label&gt;&lt;/li&gt;                        &lt;li&gt;&lt;input type="checkbox" name="group[16777][16]" id="mce-group[16777]-16777-8" value=""&gt;&lt;label for="mce-group[16777]-16777-8"&gt;Novene Online zum Skapulierfest&lt;/label&gt;&lt;/li&gt;                        &lt;li&gt;&lt;input type="checkbox" name="group[16777][8192]" id="mce-group[16777]-16777-9" value=""&gt;&lt;label for="mce-group[16777]-16777-9"&gt;33 Schritte mit Maria zu Jesus&lt;/label&gt;&lt;/li&gt;                        &lt;li&gt;&lt;input type="checkbox" name="group[16777][4096]" id="mce-group[16777]-16777-10" value=""&gt;&lt;label for="mce-group[16777]-16777-10"&gt;Jesus-Gebet&lt;/label&gt;&lt;/li&gt;                                                &lt;/ul&gt;                        &lt;/details&gt;&lt;!--                                    &lt;div class="card-links"&gt;              &lt;a href="#angebote-cards"&gt;Mehr Informationen zur Angebote nach unten&lt;/a&gt;            &lt;/div&gt; --&gt;                      &lt;/ul&gt;                      &lt;div hidden=""&gt;&lt;input type="hidden" name="tags" value="8501"&gt;&lt;/div&gt;                    &lt;/div&gt;                      &lt;div class="mc-field-group"&gt;&lt;label for="mce-AUFMERKS01"&gt;Wie sind Sie auf uns aufmerksam geworden? &lt;/label&gt;                        &lt;select name="AUFMERKS01" class="" id="mce-AUFMERKS01"&gt;                        &lt;option value="Bitte auswahlen..."&gt;Bitte auswahlen...&lt;/option&gt;                        &lt;option value="Karmeliten in Wien"&gt;Karmeliten in Wien&lt;/option&gt;                        &lt;option value="Karmeliten in Linz"&gt;Karmeliten in Linz&lt;/option&gt;                        &lt;option value="Karmeliten in Graz"&gt;Karmeliten in Graz&lt;/option&gt;                        &lt;option value="Persönliche Empfehlung"&gt;Persönliche Empfehlung&lt;/option&gt;                        &lt;option value="Plakat"&gt;Plakat&lt;/option&gt;                        &lt;option value="Internetsuche"&gt;Internetsuche&lt;/option&gt;                        &lt;option value="YouTube"&gt;YouTube&lt;/option&gt;                        &lt;option value="Facebook"&gt;Facebook&lt;/option&gt;                        &lt;option value="Instagram"&gt;Instagram&lt;/option&gt;                        &lt;option value="Sonstiges"&gt;Sonstiges&lt;/option&gt;&lt;/select&gt;&lt;/div&gt;                      &lt;div class="mc-field-group"&gt;&lt;label for="mce-AUFMERKS02"&gt;Sonstiges&lt;/label&gt;                        &lt;input type="text" name="AUFMERKS02" class=" text" id="mce-AUFMERKS02" value=""&gt;                      &lt;/div&gt;        &lt;div id="mce-responses" class="clear"&gt;            &lt;div class="response" id="mce-error-response" style="display: none;"&gt;&lt;/div&gt;            &lt;div class="response" id="mce-success-response" style="display: none;"&gt;&lt;/div&gt;        &lt;/div&gt;&lt;div style="position: absolute; left: -5000px;" aria-hidden="true"&gt;&lt;input type="text" name="b_7c9d2aa0ecc1fde64fd44bc67_10430a5833" tabindex="-1" value=""&gt;&lt;/div&gt;        &lt;div class="clear"&gt;&lt;input type="submit" name="subscribe" id="mc-embedded-subscribe" class="button" value="Anmelden"&gt;&lt;/div&gt;              &lt;div class="card-links"&gt;          &lt;a href="#datenschutz-wrap" id="datenschutz-toggle" aria-expanded="false" aria-controls="datenschutz-wrap"&gt;Datenschutz&lt;/a&gt;                      &lt;div id="datenschutz-wrap" hidden&gt;        &lt;div&gt;          &lt;p style="font-size: 14px;"&gt;Die Karmeliten in Österreich werden die Informationen, die Sie in diesem Formular angeben, dazu verwenden, mit Ihnen in Kontakt zu bleiben und Ihnen Informationen über Internet-Aktivitäten wie Exerzitien Online o.ä. zu übermitteln – je nach Ihrer Auswahl im obigen Formular.            Sie können Ihre Meinung jederzeit ändern, indem Sie auf den Abbestellungs-Link klicken, den Sie in der Fußzeile jeder E-Mail, die Sie von uns erhalten, finden können, oder indem Sie uns unter online-exerzitien@karmel.at kontaktieren. Wir werden Ihre Informationen mit Sorgfalt und Respekt behandeln. Weitere Informationen zu unseren Datenschutzpraktiken finden Sie auf unserer Website www.karmel.at . Indem Sie unten klicken, erklären Sie sich damit einverstanden, dass wir Ihre Informationen in Übereinstimmung mit diesen Bedingungen verarbeiten dürfen.          &lt;/p&gt;          &lt;p style="font-size: 14px;"&gt;  Wir nutzen Mailchimp als unsere Marketing-Plattform. Mit einem Klick auf den untenstehenden Button zum Abonnieren erklären Sie sich damit einverstanden, dass Ihre Daten zur Verarbeitung an Mailchimp übermittelt werden.    &lt;a class="plain-link" href="https://mailchimp.com/legal/terms/" target="_blank" rel="noopener noreferrer" style="display:inline-block; font-weight:400; text-decoration:underline;"&gt;    &lt;br&gt;Mehr über die Datenschutzpraktiken von Mailchimp erfahren Sie hier.  &lt;/a&gt;&lt;/div&gt;&lt;/div&gt;&lt;/div&gt;&lt;/form&gt;&lt;/div&gt;&lt;p&gt;  Laden Sie auch Freunde und Bekannte ein! Sie können diese Seite weiterempfehlen oder auf &lt;a href="https://online-exerzitien.karmel.at"&gt;online-exerzitien.karmel.at&lt;/a&gt; verweisen.&lt;/p&gt;   &lt;p&gt;Wenn Sie sich mit dem online-Anmeldeformular schwer tun oder Fehler auftreten, &lt;a href="mailto:secretarius@karmel.at?subject=Anmeldung%zum%Rundbrief"&gt;schreiben Sie uns ein eMail&lt;/a&gt;.&lt;/p&gt;  &lt;p&gt;  Sie können die Exerzitien/Novenen und die anderen Aussendungen auch über die kostenlose App "Gott allein genügt!" für iPhone, Android und Windows Mobile verfolgen: &lt;a href="http://app.karmel.at"&gt;Homepage der App&lt;/a&gt; - dort finden Sie auch weitere Impulse und Infos.&lt;/p&gt;            &lt;p&gt;So wünschen wir Ihnen ein gutes, frohes Lesen und Beten!&lt;/p&gt;&lt;/div&gt;      &lt;/section&gt;                &lt;/div&gt;                          &lt;/div&gt;          &lt;/div&gt;        &lt;/div&gt;      &lt;/section&gt;    &lt;/main&gt;</t>
  </si>
  <si>
    <t xml:space="preserve">            &lt;div              class="form-placeholder"              aria-label="Platzhalter für Anmeldeformular"            &gt;                               &lt;div class="embed-box"&gt;                  &lt;section class="section intro" id="abonniere"&gt;&lt;div id="mc_embed_shell"&gt;                       &lt;div id="mc_embed_signup"&gt;                         &lt;form                           action="https://eepurl.us6.list-manage.com/subscribe/post?u=7c9d2aa0ecc1fde64fd44bc67&amp;amp;id=48970c68bf&amp;amp;f_id=008a54e3f0"                           method="post"                           id="mc-embedded-subscribe-form"                           name="mc-embedded-subscribe-form"                           class="validate"                           target="_self"                           novalidate=""                         &gt;                           &lt;div id="mc_embed_signup_scroll"&gt;                             &lt;div class="mc-field-group"&gt;                               &lt;label for="mce-EMAIL"                                 &gt;Email Address* (required)&lt;/label                               &gt;&lt;input                                 type="email"                                 name="EMAIL"                                 class="required email"                                 id="mce-EMAIL"                                 required=""                                 value=""                               /&gt;                             &lt;/div&gt;                             &lt;div class="mc-field-group"&gt;                               &lt;label for="mce-FNAME"&gt;First Name &lt;/label                               &gt;&lt;input                                 type="text"                                 name="FNAME"                                 class="text"                                 id="mce-FNAME"                                 value=""                               /&gt;                             &lt;/div&gt;                             &lt;div class="mc-field-group"&gt;                               &lt;label for="mce-LNAME"&gt;Last Name &lt;/label                               &gt;&lt;input                                 type="text"                                 name="LNAME"                                 class="text"                                 id="mce-LNAME"                                 value=""                               /&gt;                             &lt;/div&gt;                             &lt;div class="mc-field-group"&gt;                               &lt;label for="mce-MMERGE3"&gt;Country &lt;/label                               &gt;&lt;input                                 type="text"                                 name="MMERGE3"                                 class="text"                                 id="mce-MMERGE3"                                 value=""                               /&gt;                             &lt;/div&gt;                             &lt;div class="mc-field-group"&gt;                               &lt;label for="mce-MMERGE4"                                 &gt;How did you hear about the retreat? &lt;/label                               &gt;&lt;select name="MMERGE4" class="" id="mce-MMERGE4"&gt;                                 &lt;option value=""&gt;&lt;/option&gt;                                 &lt;option value="Please select..."&gt;                                   Please select...                                 &lt;/option&gt;                                 &lt;option                                   value="ICS Publications (website / email)"                                 &gt;                                   ICS Publications (website / email)                                 &lt;/option&gt;                                 &lt;option                                   value="Parish, monastery, or Carmelite community"                                 &gt;                                   Parish, monastery, or Carmelite community                                 &lt;/option&gt;                                 &lt;option                                   value="Friend, family member, or colleague"                                 &gt;                                   Friend, family member, or colleague                                 &lt;/option&gt;                                 &lt;option value="Search engine (Google, etc.)"&gt;                                   Search engine (Google, etc.)                                 &lt;/option&gt;                                 &lt;option                                   value="Social Media (Instagram, Facebook, etc.)"                                 &gt;                                   Social Media (Instagram, Facebook, etc.)                                 &lt;/option&gt;                                 &lt;option value="Other (please specify)"&gt;                                   Other (please specify)                                 &lt;/option&gt;                               &lt;/select&gt;                             &lt;/div&gt;                             &lt;div class="mc-field-group"&gt;                               &lt;label for="mce-HOWFOUND2"                                 &gt;Other (please specify) &lt;/label                               &gt;&lt;input                                 type="text"                                 name="HOWFOUND2"                                 class="text"                                 id="mce-HOWFOUND2"                                 value=""                               /&gt;                             &lt;/div&gt;                             &lt;div id="mce-responses" class="clear"&gt;                               &lt;div                                 class="response"                                 id="mce-error-response"                                 style="display: none"                               &gt;&lt;/div&gt;                               &lt;div                                 class="response"                                 id="mce-success-response"                                 style="display: none"                               &gt;&lt;/div&gt;                             &lt;/div&gt;                             &lt;div                               style="position: absolute; left: -5000px"                               aria-hidden="true"                             &gt;                               &lt;input                                 type="text"                                 name="b_7c9d2aa0ecc1fde64fd44bc67_48970c68bf"                                 tabindex="-1"                                 value=""                               /&gt;                             &lt;/div&gt;                             &lt;div class="clear"&gt;                               &lt;input                                 type="submit"                                 name="subscribe"                                 id="mc-embedded-subscribe"                                 class="button-signup"                                 value="Subscribe"                               /&gt;                             &lt;/div&gt;                           &lt;/div&gt;                         &lt;/form&gt;                       &lt;/div&gt;                     &lt;/div&gt;                   &lt;/section&gt;                 &lt;/div&gt;               &lt;/div&gt;               &lt;div class="datenschutz-toggle"&gt;                 &lt;a                   href="#datenschutz-wrap"                   id="datenschutz-toggle"                   aria-expanded="false"                   aria-controls="datenschutz-wrap"                   &gt;Privacy Policy&lt;/a                 &gt;                 &lt;div id="datenschutz-wrap" hidden&gt;                   &lt;p style="font-size: 14px"&gt;                     We use Mailchimp as our marketing plattform. By clicking the                     "Subscribe" button, you agree to have your data transferred                     to Mailchimp for processing.                   &lt;/p&gt;                   &lt;a                     class="plain-link"                     href="https://mailchimp.com/legal/terms/"                     target="_blank"                     rel="noopener noreferrer"                     style="                       display: inline-block;                       font-size: 14px;                       font-weight: 200;                       text-decoration: none;                     "                   &gt;                     You can find out more about Mailchimp's data protection                     policy here.                   &lt;/a&gt;                 &lt;/div&gt;               &lt;/div&gt;             &lt;/div&gt;           &lt;/div&gt;         &lt;/div&gt;&lt;/section&gt;    &lt;/main&gt;</t>
  </si>
  <si>
    <t xml:space="preserve">    &lt;footer class="site-footer"&gt;      &lt;div class="container footer-inner"&gt;        &lt;p&gt;© Teresianischer Karmel – Online-Exerzitien&lt;/p&gt;        &lt;p&gt;Geistliche Begleitung für Advent und Fastenzeit&lt;/p&gt;      &lt;/div&gt;    &lt;/footer&gt;  &lt;/body&gt;  &lt;script type="module" src="../script.js"&gt;&lt;/script&gt;  &lt;script type="module" src="./weeks_script.js" defer&gt;  &lt;/script&gt;&lt;/html&gt;</t>
  </si>
  <si>
    <t xml:space="preserve">    &lt;footer class="site-footer"&gt;      &lt;div class="container footer-inner"&gt;               &lt;p&gt;           © The Discalced Carmelite Friars of Paris and Austria, together with           ICS Publications (Washington DC).         &lt;/p&gt;         &lt;p&gt;           This online retreat was written by Fr. Didier, OCD (from the Paris           Convent) with a Carmelite working group. English translations prepared           by OCDS members from North America. The English distribution is           organized by Discalced Carmelite friars in the United States in           collaboration with ICS Publications in Washington, DC. Videos provided           by the Discalced Carmelite friars, Washington Province in           collaboration with ICS Publications.         &lt;/p&gt;      &lt;/div&gt;    &lt;/footer&gt;  &lt;/body&gt;  &lt;script type="module" src="../script.js"&gt;&lt;/script&gt;  &lt;script type="module" src="./weeks_script.js" defer&gt;  &lt;/script&gt;&lt;/html&gt;</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</si>
</sst>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0"/>
      <name val="Lucida Sans"/>
      <family val="2"/>
    </font>
    <font>
      <sz val="10"/>
      <name val="Microsoft YaHei"/>
      <family val="2"/>
    </font>
    <font>
      <sz val="10"/>
      <name val="Times New Roman"/>
      <family val="1"/>
    </font>
    <font>
      <sz val="10"/>
      <color rgb="FF0000FF"/>
      <name val="Times New Roman"/>
      <family val="1"/>
    </font>
    <font>
      <sz val="10"/>
      <name val="Tahoma"/>
      <family val="2"/>
    </font>
    <font>
      <sz val="10"/>
      <name val="Segoe U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retiro-online.karmel.at/" TargetMode="External"/><Relationship Id="rId2" Type="http://schemas.openxmlformats.org/officeDocument/2006/relationships/hyperlink" Target="https://esercizi-online.karmel.at/" TargetMode="External"/><Relationship Id="rId3" Type="http://schemas.openxmlformats.org/officeDocument/2006/relationships/hyperlink" Target="https://rekolekcje-online.karmel.at/" TargetMode="External"/><Relationship Id="rId4" Type="http://schemas.openxmlformats.org/officeDocument/2006/relationships/hyperlink" Target="https://retraite-arabe.karmel.at/" TargetMode="External"/><Relationship Id="rId5" Type="http://schemas.openxmlformats.org/officeDocument/2006/relationships/hyperlink" Target="https://zaixian-tuixing.karmel.at/" TargetMode="External"/><Relationship Id="rId6" Type="http://schemas.openxmlformats.org/officeDocument/2006/relationships/hyperlink" Target="https://online-duhovne.karmel.at/" TargetMode="External"/><Relationship Id="rId7" Type="http://schemas.openxmlformats.org/officeDocument/2006/relationships/hyperlink" Target="https://online-lelkigyakorlat.karmel.at/" TargetMode="External"/><Relationship Id="rId8" Type="http://schemas.openxmlformats.org/officeDocument/2006/relationships/hyperlink" Target="https://irtir-karmelitan-onlajn.karmel.at/" TargetMode="External"/><Relationship Id="rId9" Type="http://schemas.openxmlformats.org/officeDocument/2006/relationships/hyperlink" Target="https://retraitenl.karmel.at/" TargetMode="External"/><Relationship Id="rId10" Type="http://schemas.openxmlformats.org/officeDocument/2006/relationships/hyperlink" Target="https://reculegere-online.karmel.at/" TargetMode="External"/><Relationship Id="rId11" Type="http://schemas.openxmlformats.org/officeDocument/2006/relationships/hyperlink" Target="https://tinh-tam-cat-minh.karmel.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1" sqref="C11:C37 E2"/>
    </sheetView>
  </sheetViews>
  <sheetFormatPr defaultColWidth="11.53515625" defaultRowHeight="12.8" customHeight="false" zeroHeight="false" outlineLevelRow="0" outlineLevelCol="0"/>
  <cols>
    <col collapsed="false" customWidth="true" hidden="false" outlineLevel="0" max="1" min="1" style="0" width="50.54"/>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3</v>
      </c>
      <c r="Y1" s="0" t="s">
        <v>4</v>
      </c>
      <c r="Z1" s="0" t="s">
        <v>5</v>
      </c>
      <c r="AA1" s="0" t="s">
        <v>6</v>
      </c>
      <c r="AB1" s="0" t="s">
        <v>7</v>
      </c>
      <c r="AC1" s="0" t="s">
        <v>8</v>
      </c>
      <c r="AD1" s="0" t="s">
        <v>9</v>
      </c>
      <c r="AE1" s="0" t="s">
        <v>10</v>
      </c>
      <c r="AF1" s="0" t="s">
        <v>11</v>
      </c>
      <c r="AG1" s="0" t="s">
        <v>12</v>
      </c>
      <c r="AH1" s="0" t="s">
        <v>13</v>
      </c>
      <c r="AI1" s="0" t="s">
        <v>14</v>
      </c>
      <c r="AJ1" s="0" t="s">
        <v>15</v>
      </c>
      <c r="AK1" s="0" t="s">
        <v>16</v>
      </c>
      <c r="AL1" s="0" t="s">
        <v>17</v>
      </c>
      <c r="AM1" s="0" t="s">
        <v>18</v>
      </c>
      <c r="AN1" s="0" t="s">
        <v>3</v>
      </c>
      <c r="AO1" s="0" t="s">
        <v>4</v>
      </c>
      <c r="AP1" s="0" t="s">
        <v>5</v>
      </c>
      <c r="AQ1" s="0" t="s">
        <v>6</v>
      </c>
      <c r="AR1" s="0" t="s">
        <v>7</v>
      </c>
      <c r="AS1" s="0" t="s">
        <v>8</v>
      </c>
      <c r="AT1" s="0" t="s">
        <v>9</v>
      </c>
      <c r="AU1" s="0" t="s">
        <v>10</v>
      </c>
      <c r="AV1" s="0" t="s">
        <v>11</v>
      </c>
      <c r="AW1" s="0" t="s">
        <v>12</v>
      </c>
      <c r="AX1" s="0" t="s">
        <v>13</v>
      </c>
      <c r="AY1" s="0" t="s">
        <v>14</v>
      </c>
      <c r="AZ1" s="0" t="s">
        <v>15</v>
      </c>
      <c r="BA1" s="0" t="s">
        <v>16</v>
      </c>
      <c r="BB1" s="0" t="s">
        <v>17</v>
      </c>
      <c r="BC1" s="0" t="s">
        <v>18</v>
      </c>
      <c r="BD1" s="0" t="s">
        <v>3</v>
      </c>
      <c r="BE1" s="0" t="s">
        <v>4</v>
      </c>
      <c r="BF1" s="0" t="s">
        <v>5</v>
      </c>
      <c r="BG1" s="0" t="s">
        <v>6</v>
      </c>
      <c r="BH1" s="0" t="s">
        <v>7</v>
      </c>
      <c r="BI1" s="0" t="s">
        <v>8</v>
      </c>
      <c r="BJ1" s="0" t="s">
        <v>9</v>
      </c>
      <c r="BK1" s="0" t="s">
        <v>10</v>
      </c>
      <c r="BL1" s="0" t="s">
        <v>11</v>
      </c>
      <c r="BM1" s="0" t="s">
        <v>12</v>
      </c>
      <c r="BN1" s="0" t="s">
        <v>13</v>
      </c>
      <c r="BO1" s="0" t="s">
        <v>14</v>
      </c>
      <c r="BP1" s="0" t="s">
        <v>15</v>
      </c>
      <c r="BQ1" s="0" t="s">
        <v>16</v>
      </c>
      <c r="BR1" s="0" t="s">
        <v>17</v>
      </c>
      <c r="BS1" s="0" t="s">
        <v>18</v>
      </c>
      <c r="BT1" s="0" t="s">
        <v>3</v>
      </c>
      <c r="BU1" s="0" t="s">
        <v>4</v>
      </c>
      <c r="BV1" s="0" t="s">
        <v>5</v>
      </c>
      <c r="BW1" s="0" t="s">
        <v>6</v>
      </c>
      <c r="BX1" s="0" t="s">
        <v>7</v>
      </c>
      <c r="BY1" s="0" t="s">
        <v>8</v>
      </c>
      <c r="BZ1" s="0" t="s">
        <v>9</v>
      </c>
      <c r="CA1" s="0" t="s">
        <v>10</v>
      </c>
      <c r="CB1" s="0" t="s">
        <v>11</v>
      </c>
      <c r="CC1" s="0" t="s">
        <v>12</v>
      </c>
      <c r="CD1" s="0" t="s">
        <v>13</v>
      </c>
      <c r="CE1" s="0" t="s">
        <v>14</v>
      </c>
      <c r="CF1" s="0" t="s">
        <v>15</v>
      </c>
      <c r="CG1" s="0" t="s">
        <v>16</v>
      </c>
      <c r="CH1" s="0" t="s">
        <v>17</v>
      </c>
      <c r="CI1" s="0" t="s">
        <v>18</v>
      </c>
    </row>
    <row r="2" customFormat="false" ht="12.8" hidden="false" customHeight="false" outlineLevel="0" collapsed="false">
      <c r="A2" s="0" t="s">
        <v>23</v>
      </c>
      <c r="B2" s="0" t="s">
        <v>24</v>
      </c>
      <c r="C2" s="0" t="n">
        <v>2026</v>
      </c>
      <c r="D2" s="0" t="s">
        <v>25</v>
      </c>
      <c r="E2" s="0" t="s">
        <v>26</v>
      </c>
      <c r="F2" s="0" t="s">
        <v>27</v>
      </c>
      <c r="G2" s="0" t="s">
        <v>28</v>
      </c>
      <c r="H2" s="0" t="s">
        <v>26</v>
      </c>
      <c r="I2" s="0" t="s">
        <v>29</v>
      </c>
      <c r="J2" s="0" t="s">
        <v>30</v>
      </c>
      <c r="K2" s="0" t="s">
        <v>31</v>
      </c>
      <c r="L2" s="0" t="s">
        <v>32</v>
      </c>
      <c r="M2" s="0" t="s">
        <v>26</v>
      </c>
      <c r="N2" s="0" t="s">
        <v>33</v>
      </c>
      <c r="O2" s="0" t="s">
        <v>26</v>
      </c>
      <c r="P2" s="0" t="s">
        <v>34</v>
      </c>
      <c r="Q2" s="0" t="s">
        <v>26</v>
      </c>
      <c r="R2" s="0" t="s">
        <v>26</v>
      </c>
      <c r="S2" s="0" t="s">
        <v>35</v>
      </c>
      <c r="T2" s="0" t="s">
        <v>36</v>
      </c>
      <c r="U2" s="0" t="s">
        <v>37</v>
      </c>
      <c r="V2" s="0" t="s">
        <v>38</v>
      </c>
      <c r="W2" s="0" t="s">
        <v>39</v>
      </c>
      <c r="X2" s="0" t="s">
        <v>25</v>
      </c>
      <c r="Y2" s="0" t="s">
        <v>40</v>
      </c>
      <c r="Z2" s="0" t="s">
        <v>25</v>
      </c>
      <c r="AA2" s="0" t="s">
        <v>25</v>
      </c>
      <c r="AB2" s="0" t="s">
        <v>41</v>
      </c>
      <c r="AC2" s="0" t="s">
        <v>25</v>
      </c>
      <c r="AD2" s="0" t="s">
        <v>25</v>
      </c>
      <c r="AE2" s="0" t="s">
        <v>25</v>
      </c>
      <c r="AF2" s="0" t="s">
        <v>25</v>
      </c>
      <c r="AG2" s="0" t="s">
        <v>25</v>
      </c>
      <c r="AH2" s="0" t="s">
        <v>25</v>
      </c>
      <c r="AI2" s="0" t="s">
        <v>25</v>
      </c>
      <c r="AJ2" s="0" t="s">
        <v>25</v>
      </c>
      <c r="AK2" s="0" t="s">
        <v>25</v>
      </c>
      <c r="AL2" s="0" t="s">
        <v>25</v>
      </c>
      <c r="AM2" s="0" t="s">
        <v>25</v>
      </c>
      <c r="AN2" s="0" t="s">
        <v>25</v>
      </c>
      <c r="AO2" s="0" t="s">
        <v>42</v>
      </c>
      <c r="AP2" s="0" t="s">
        <v>25</v>
      </c>
      <c r="AQ2" s="0" t="s">
        <v>25</v>
      </c>
      <c r="AR2" s="0" t="s">
        <v>25</v>
      </c>
      <c r="AS2" s="0" t="s">
        <v>25</v>
      </c>
      <c r="AT2" s="0" t="s">
        <v>25</v>
      </c>
      <c r="AU2" s="0" t="s">
        <v>25</v>
      </c>
      <c r="AV2" s="0" t="s">
        <v>25</v>
      </c>
      <c r="AW2" s="0" t="s">
        <v>25</v>
      </c>
      <c r="AX2" s="0" t="s">
        <v>25</v>
      </c>
      <c r="AY2" s="0" t="s">
        <v>25</v>
      </c>
      <c r="AZ2" s="0" t="s">
        <v>25</v>
      </c>
      <c r="BA2" s="0" t="s">
        <v>25</v>
      </c>
      <c r="BB2" s="0" t="s">
        <v>25</v>
      </c>
      <c r="BC2" s="0" t="s">
        <v>25</v>
      </c>
      <c r="BD2" s="0" t="s">
        <v>25</v>
      </c>
      <c r="BE2" s="1" t="s">
        <v>43</v>
      </c>
      <c r="BF2" s="0" t="s">
        <v>25</v>
      </c>
      <c r="BG2" s="0" t="s">
        <v>25</v>
      </c>
      <c r="BH2" s="0" t="s">
        <v>25</v>
      </c>
      <c r="BI2" s="0" t="s">
        <v>25</v>
      </c>
      <c r="BJ2" s="0" t="s">
        <v>25</v>
      </c>
      <c r="BK2" s="0" t="s">
        <v>25</v>
      </c>
      <c r="BL2" s="0" t="s">
        <v>25</v>
      </c>
      <c r="BM2" s="0" t="s">
        <v>25</v>
      </c>
      <c r="BN2" s="0" t="s">
        <v>25</v>
      </c>
      <c r="BO2" s="0" t="s">
        <v>25</v>
      </c>
      <c r="BP2" s="0" t="s">
        <v>25</v>
      </c>
      <c r="BQ2" s="0" t="s">
        <v>25</v>
      </c>
      <c r="BR2" s="0" t="s">
        <v>25</v>
      </c>
      <c r="BS2" s="0" t="s">
        <v>25</v>
      </c>
      <c r="BT2" s="0" t="s">
        <v>25</v>
      </c>
      <c r="BU2" s="0" t="s">
        <v>44</v>
      </c>
      <c r="BV2" s="0" t="s">
        <v>25</v>
      </c>
      <c r="BW2" s="0" t="s">
        <v>25</v>
      </c>
      <c r="BX2" s="0" t="s">
        <v>25</v>
      </c>
      <c r="BY2" s="0" t="s">
        <v>25</v>
      </c>
      <c r="BZ2" s="0" t="s">
        <v>25</v>
      </c>
      <c r="CA2" s="0" t="s">
        <v>25</v>
      </c>
      <c r="CB2" s="0" t="s">
        <v>25</v>
      </c>
      <c r="CC2" s="0" t="s">
        <v>25</v>
      </c>
      <c r="CD2" s="0" t="s">
        <v>25</v>
      </c>
      <c r="CE2" s="0" t="s">
        <v>25</v>
      </c>
      <c r="CF2" s="0" t="s">
        <v>25</v>
      </c>
      <c r="CG2" s="0" t="s">
        <v>25</v>
      </c>
      <c r="CH2" s="0" t="s">
        <v>25</v>
      </c>
      <c r="CI2" s="0" t="s">
        <v>25</v>
      </c>
    </row>
    <row r="3" customFormat="false" ht="12.8" hidden="false" customHeight="false" outlineLevel="0" collapsed="false">
      <c r="A3" s="0" t="s">
        <v>45</v>
      </c>
      <c r="B3" s="0" t="s">
        <v>46</v>
      </c>
      <c r="C3" s="0" t="n">
        <v>2026</v>
      </c>
      <c r="D3" s="0" t="s">
        <v>47</v>
      </c>
      <c r="E3" s="0" t="s">
        <v>48</v>
      </c>
      <c r="F3" s="0" t="s">
        <v>49</v>
      </c>
      <c r="G3" s="0" t="s">
        <v>50</v>
      </c>
      <c r="H3" s="0" t="s">
        <v>51</v>
      </c>
      <c r="I3" s="0" t="s">
        <v>52</v>
      </c>
      <c r="J3" s="0" t="s">
        <v>53</v>
      </c>
      <c r="K3" s="0" t="s">
        <v>54</v>
      </c>
      <c r="L3" s="0" t="s">
        <v>55</v>
      </c>
      <c r="M3" s="0" t="s">
        <v>56</v>
      </c>
      <c r="N3" s="0" t="s">
        <v>57</v>
      </c>
      <c r="O3" s="0" t="s">
        <v>58</v>
      </c>
      <c r="P3" s="0" t="s">
        <v>59</v>
      </c>
      <c r="Q3" s="0" t="s">
        <v>60</v>
      </c>
      <c r="R3" s="0" t="s">
        <v>61</v>
      </c>
      <c r="S3" s="0" t="s">
        <v>62</v>
      </c>
      <c r="T3" s="0" t="s">
        <v>63</v>
      </c>
      <c r="U3" s="0" t="s">
        <v>64</v>
      </c>
      <c r="V3" s="0" t="s">
        <v>65</v>
      </c>
      <c r="W3" s="0" t="s">
        <v>66</v>
      </c>
      <c r="X3" s="0" t="s">
        <v>67</v>
      </c>
      <c r="Y3" s="0" t="s">
        <v>68</v>
      </c>
      <c r="Z3" s="0" t="s">
        <v>69</v>
      </c>
      <c r="AA3" s="0" t="s">
        <v>70</v>
      </c>
      <c r="AB3" s="0" t="s">
        <v>71</v>
      </c>
      <c r="AC3" s="0" t="s">
        <v>72</v>
      </c>
      <c r="AD3" s="2" t="s">
        <v>73</v>
      </c>
      <c r="AE3" s="0" t="s">
        <v>74</v>
      </c>
      <c r="AF3" s="0" t="s">
        <v>75</v>
      </c>
      <c r="AG3" s="0" t="s">
        <v>76</v>
      </c>
      <c r="AH3" s="0" t="s">
        <v>77</v>
      </c>
      <c r="AI3" s="0" t="s">
        <v>78</v>
      </c>
      <c r="AJ3" s="0" t="s">
        <v>79</v>
      </c>
      <c r="AK3" s="0" t="s">
        <v>80</v>
      </c>
      <c r="AL3" s="0" t="s">
        <v>81</v>
      </c>
      <c r="AM3" s="0" t="s">
        <v>82</v>
      </c>
      <c r="AN3" s="0" t="s">
        <v>25</v>
      </c>
      <c r="AO3" s="0" t="s">
        <v>83</v>
      </c>
      <c r="AP3" s="0" t="s">
        <v>84</v>
      </c>
      <c r="AQ3" s="0" t="s">
        <v>85</v>
      </c>
      <c r="AR3" s="0" t="s">
        <v>86</v>
      </c>
      <c r="AS3" s="0" t="s">
        <v>87</v>
      </c>
      <c r="AT3" s="0" t="s">
        <v>88</v>
      </c>
      <c r="AU3" s="0" t="s">
        <v>89</v>
      </c>
      <c r="AV3" s="3" t="s">
        <v>90</v>
      </c>
      <c r="AW3" s="0" t="s">
        <v>91</v>
      </c>
      <c r="AX3" s="0" t="s">
        <v>92</v>
      </c>
      <c r="AY3" s="0" t="s">
        <v>93</v>
      </c>
      <c r="AZ3" s="0" t="s">
        <v>94</v>
      </c>
      <c r="BA3" s="0" t="s">
        <v>95</v>
      </c>
      <c r="BB3" s="0" t="s">
        <v>96</v>
      </c>
      <c r="BC3" s="0" t="s">
        <v>97</v>
      </c>
      <c r="BD3" s="0" t="s">
        <v>25</v>
      </c>
      <c r="BE3" s="0" t="s">
        <v>98</v>
      </c>
      <c r="BF3" s="0" t="s">
        <v>99</v>
      </c>
      <c r="BG3" s="0" t="s">
        <v>100</v>
      </c>
      <c r="BH3" s="0" t="s">
        <v>101</v>
      </c>
      <c r="BI3" s="0" t="s">
        <v>102</v>
      </c>
      <c r="BJ3" s="2" t="s">
        <v>103</v>
      </c>
      <c r="BK3" s="0" t="s">
        <v>104</v>
      </c>
      <c r="BL3" s="3" t="s">
        <v>105</v>
      </c>
      <c r="BM3" s="0" t="s">
        <v>106</v>
      </c>
      <c r="BN3" s="0" t="s">
        <v>107</v>
      </c>
      <c r="BO3" s="0" t="s">
        <v>108</v>
      </c>
      <c r="BP3" s="0" t="s">
        <v>109</v>
      </c>
      <c r="BQ3" s="0" t="s">
        <v>110</v>
      </c>
      <c r="BR3" s="0" t="s">
        <v>111</v>
      </c>
      <c r="BS3" s="0" t="s">
        <v>112</v>
      </c>
      <c r="BT3" s="0" t="s">
        <v>25</v>
      </c>
      <c r="BU3" s="0" t="s">
        <v>113</v>
      </c>
      <c r="BV3" s="0" t="s">
        <v>114</v>
      </c>
      <c r="BW3" s="0" t="s">
        <v>115</v>
      </c>
      <c r="BX3" s="0" t="s">
        <v>116</v>
      </c>
      <c r="BY3" s="0" t="s">
        <v>117</v>
      </c>
      <c r="BZ3" s="0" t="s">
        <v>118</v>
      </c>
      <c r="CA3" s="0" t="s">
        <v>119</v>
      </c>
      <c r="CB3" s="0" t="s">
        <v>120</v>
      </c>
      <c r="CC3" s="0" t="s">
        <v>121</v>
      </c>
      <c r="CD3" s="0" t="s">
        <v>122</v>
      </c>
      <c r="CE3" s="0" t="s">
        <v>123</v>
      </c>
      <c r="CF3" s="0" t="s">
        <v>124</v>
      </c>
      <c r="CG3" s="0" t="s">
        <v>125</v>
      </c>
      <c r="CH3" s="0" t="s">
        <v>126</v>
      </c>
      <c r="CI3" s="0" t="s">
        <v>127</v>
      </c>
    </row>
    <row r="4" customFormat="false" ht="12.8" hidden="false" customHeight="false" outlineLevel="0" collapsed="false">
      <c r="A4" s="0" t="s">
        <v>128</v>
      </c>
      <c r="B4" s="0" t="s">
        <v>24</v>
      </c>
      <c r="C4" s="0" t="n">
        <v>2025</v>
      </c>
      <c r="D4" s="0" t="s">
        <v>25</v>
      </c>
      <c r="E4" s="0" t="s">
        <v>129</v>
      </c>
      <c r="F4" s="0" t="s">
        <v>130</v>
      </c>
      <c r="G4" s="0" t="s">
        <v>131</v>
      </c>
      <c r="H4" s="0" t="s">
        <v>129</v>
      </c>
      <c r="I4" s="0" t="s">
        <v>132</v>
      </c>
      <c r="J4" s="0" t="s">
        <v>133</v>
      </c>
      <c r="K4" s="0" t="s">
        <v>134</v>
      </c>
      <c r="L4" s="0" t="s">
        <v>135</v>
      </c>
      <c r="M4" s="0" t="s">
        <v>129</v>
      </c>
      <c r="N4" s="0" t="s">
        <v>136</v>
      </c>
      <c r="O4" s="0" t="s">
        <v>129</v>
      </c>
      <c r="P4" s="0" t="s">
        <v>137</v>
      </c>
      <c r="Q4" s="0" t="s">
        <v>129</v>
      </c>
      <c r="R4" s="0" t="s">
        <v>129</v>
      </c>
      <c r="S4" s="0" t="s">
        <v>138</v>
      </c>
      <c r="T4" s="0" t="s">
        <v>139</v>
      </c>
      <c r="U4" s="0" t="s">
        <v>140</v>
      </c>
      <c r="V4" s="0" t="s">
        <v>141</v>
      </c>
      <c r="W4" s="0" t="s">
        <v>142</v>
      </c>
      <c r="X4" s="0" t="s">
        <v>67</v>
      </c>
      <c r="Y4" s="0" t="s">
        <v>143</v>
      </c>
      <c r="Z4" s="0" t="s">
        <v>144</v>
      </c>
      <c r="AA4" s="0" t="s">
        <v>145</v>
      </c>
      <c r="AB4" s="0" t="s">
        <v>146</v>
      </c>
      <c r="AC4" s="0" t="s">
        <v>147</v>
      </c>
      <c r="AD4" s="2" t="s">
        <v>148</v>
      </c>
      <c r="AE4" s="0" t="s">
        <v>149</v>
      </c>
      <c r="AF4" s="3" t="s">
        <v>150</v>
      </c>
      <c r="AG4" s="0" t="s">
        <v>151</v>
      </c>
      <c r="AH4" s="0" t="s">
        <v>152</v>
      </c>
      <c r="AI4" s="0" t="s">
        <v>153</v>
      </c>
      <c r="AJ4" s="0" t="s">
        <v>154</v>
      </c>
      <c r="AK4" s="0" t="s">
        <v>155</v>
      </c>
      <c r="AL4" s="0" t="s">
        <v>156</v>
      </c>
      <c r="AM4" s="0" t="s">
        <v>157</v>
      </c>
      <c r="AN4" s="0" t="s">
        <v>158</v>
      </c>
      <c r="AO4" s="0" t="s">
        <v>159</v>
      </c>
      <c r="AP4" s="0" t="s">
        <v>160</v>
      </c>
      <c r="AQ4" s="0" t="s">
        <v>161</v>
      </c>
      <c r="AR4" s="0" t="s">
        <v>162</v>
      </c>
      <c r="AS4" s="0" t="s">
        <v>163</v>
      </c>
      <c r="AT4" s="2" t="s">
        <v>164</v>
      </c>
      <c r="AU4" s="0" t="s">
        <v>165</v>
      </c>
      <c r="AV4" s="0" t="s">
        <v>166</v>
      </c>
      <c r="AW4" s="0" t="s">
        <v>167</v>
      </c>
      <c r="AX4" s="0" t="s">
        <v>168</v>
      </c>
      <c r="AY4" s="0" t="s">
        <v>169</v>
      </c>
      <c r="AZ4" s="0" t="s">
        <v>170</v>
      </c>
      <c r="BA4" s="0" t="s">
        <v>171</v>
      </c>
      <c r="BB4" s="0" t="s">
        <v>172</v>
      </c>
      <c r="BC4" s="0" t="s">
        <v>173</v>
      </c>
      <c r="BD4" s="0" t="s">
        <v>25</v>
      </c>
      <c r="BE4" s="0" t="s">
        <v>174</v>
      </c>
      <c r="BF4" s="0" t="s">
        <v>175</v>
      </c>
      <c r="BG4" s="0" t="s">
        <v>176</v>
      </c>
      <c r="BH4" s="0" t="s">
        <v>177</v>
      </c>
      <c r="BI4" s="0" t="s">
        <v>178</v>
      </c>
      <c r="BJ4" s="2" t="s">
        <v>179</v>
      </c>
      <c r="BK4" s="0" t="s">
        <v>180</v>
      </c>
      <c r="BL4" s="3" t="s">
        <v>181</v>
      </c>
      <c r="BM4" s="0" t="s">
        <v>182</v>
      </c>
      <c r="BN4" s="0" t="s">
        <v>183</v>
      </c>
      <c r="BO4" s="0" t="s">
        <v>184</v>
      </c>
      <c r="BP4" s="0" t="s">
        <v>185</v>
      </c>
      <c r="BQ4" s="0" t="s">
        <v>186</v>
      </c>
      <c r="BR4" s="0" t="s">
        <v>187</v>
      </c>
      <c r="BS4" s="0" t="s">
        <v>188</v>
      </c>
      <c r="BT4" s="0" t="s">
        <v>25</v>
      </c>
      <c r="BU4" s="0" t="s">
        <v>189</v>
      </c>
      <c r="BV4" s="0" t="s">
        <v>190</v>
      </c>
      <c r="BW4" s="0" t="s">
        <v>191</v>
      </c>
      <c r="BX4" s="0" t="s">
        <v>192</v>
      </c>
      <c r="BY4" s="0" t="s">
        <v>193</v>
      </c>
      <c r="BZ4" s="0" t="s">
        <v>194</v>
      </c>
      <c r="CA4" s="0" t="s">
        <v>195</v>
      </c>
      <c r="CB4" s="0" t="s">
        <v>196</v>
      </c>
      <c r="CC4" s="0" t="s">
        <v>197</v>
      </c>
      <c r="CD4" s="0" t="s">
        <v>198</v>
      </c>
      <c r="CE4" s="0" t="s">
        <v>199</v>
      </c>
      <c r="CF4" s="0" t="s">
        <v>200</v>
      </c>
      <c r="CG4" s="0" t="s">
        <v>201</v>
      </c>
      <c r="CH4" s="0" t="s">
        <v>202</v>
      </c>
      <c r="CI4" s="0" t="s">
        <v>203</v>
      </c>
    </row>
    <row r="5" customFormat="false" ht="12.8" hidden="false" customHeight="false" outlineLevel="0" collapsed="false">
      <c r="A5" s="0" t="s">
        <v>204</v>
      </c>
      <c r="B5" s="0" t="s">
        <v>46</v>
      </c>
      <c r="C5" s="0" t="n">
        <v>2025</v>
      </c>
      <c r="D5" s="0" t="s">
        <v>205</v>
      </c>
      <c r="E5" s="0" t="s">
        <v>206</v>
      </c>
      <c r="F5" s="0" t="s">
        <v>207</v>
      </c>
      <c r="G5" s="0" t="s">
        <v>208</v>
      </c>
      <c r="H5" s="0" t="s">
        <v>209</v>
      </c>
      <c r="I5" s="0" t="s">
        <v>210</v>
      </c>
      <c r="J5" s="0" t="s">
        <v>211</v>
      </c>
      <c r="K5" s="0" t="s">
        <v>212</v>
      </c>
      <c r="L5" s="0" t="s">
        <v>213</v>
      </c>
      <c r="M5" s="0" t="s">
        <v>214</v>
      </c>
      <c r="N5" s="0" t="s">
        <v>215</v>
      </c>
      <c r="O5" s="0" t="s">
        <v>216</v>
      </c>
      <c r="P5" s="0" t="s">
        <v>217</v>
      </c>
      <c r="Q5" s="0" t="s">
        <v>218</v>
      </c>
      <c r="R5" s="0" t="s">
        <v>219</v>
      </c>
      <c r="S5" s="0" t="s">
        <v>220</v>
      </c>
      <c r="T5" s="0" t="s">
        <v>221</v>
      </c>
      <c r="U5" s="0" t="s">
        <v>222</v>
      </c>
      <c r="V5" s="0" t="s">
        <v>223</v>
      </c>
      <c r="W5" s="0" t="s">
        <v>224</v>
      </c>
      <c r="X5" s="0" t="s">
        <v>225</v>
      </c>
      <c r="Y5" s="0" t="s">
        <v>226</v>
      </c>
      <c r="Z5" s="0" t="s">
        <v>25</v>
      </c>
      <c r="AA5" s="0" t="s">
        <v>227</v>
      </c>
      <c r="AB5" s="0" t="s">
        <v>25</v>
      </c>
      <c r="AC5" s="0" t="s">
        <v>25</v>
      </c>
      <c r="AD5" s="0" t="s">
        <v>25</v>
      </c>
      <c r="AE5" s="0" t="s">
        <v>25</v>
      </c>
      <c r="AF5" s="0" t="s">
        <v>228</v>
      </c>
      <c r="AG5" s="0" t="s">
        <v>25</v>
      </c>
      <c r="AH5" s="0" t="s">
        <v>25</v>
      </c>
      <c r="AI5" s="0" t="s">
        <v>25</v>
      </c>
      <c r="AJ5" s="0" t="s">
        <v>25</v>
      </c>
      <c r="AK5" s="0" t="s">
        <v>25</v>
      </c>
      <c r="AL5" s="0" t="s">
        <v>25</v>
      </c>
      <c r="AM5" s="0" t="s">
        <v>25</v>
      </c>
      <c r="AN5" s="0" t="s">
        <v>229</v>
      </c>
      <c r="AO5" s="0" t="s">
        <v>230</v>
      </c>
      <c r="AP5" s="0" t="s">
        <v>25</v>
      </c>
      <c r="AQ5" s="0" t="s">
        <v>231</v>
      </c>
      <c r="AR5" s="0" t="s">
        <v>25</v>
      </c>
      <c r="AS5" s="0" t="s">
        <v>25</v>
      </c>
      <c r="AT5" s="0" t="s">
        <v>25</v>
      </c>
      <c r="AU5" s="0" t="s">
        <v>25</v>
      </c>
      <c r="AV5" s="3" t="s">
        <v>232</v>
      </c>
      <c r="AW5" s="0" t="s">
        <v>25</v>
      </c>
      <c r="AX5" s="0" t="s">
        <v>25</v>
      </c>
      <c r="AY5" s="0" t="s">
        <v>25</v>
      </c>
      <c r="AZ5" s="0" t="s">
        <v>25</v>
      </c>
      <c r="BA5" s="0" t="s">
        <v>25</v>
      </c>
      <c r="BB5" s="0" t="s">
        <v>25</v>
      </c>
      <c r="BC5" s="0" t="s">
        <v>25</v>
      </c>
      <c r="BD5" s="0" t="s">
        <v>25</v>
      </c>
      <c r="BE5" s="1" t="s">
        <v>233</v>
      </c>
      <c r="BF5" s="0" t="s">
        <v>25</v>
      </c>
      <c r="BG5" s="0" t="s">
        <v>234</v>
      </c>
      <c r="BH5" s="0" t="s">
        <v>25</v>
      </c>
      <c r="BI5" s="0" t="s">
        <v>25</v>
      </c>
      <c r="BJ5" s="0" t="s">
        <v>25</v>
      </c>
      <c r="BK5" s="0" t="s">
        <v>25</v>
      </c>
      <c r="BL5" s="3" t="s">
        <v>235</v>
      </c>
      <c r="BM5" s="0" t="s">
        <v>25</v>
      </c>
      <c r="BN5" s="0" t="s">
        <v>25</v>
      </c>
      <c r="BO5" s="0" t="s">
        <v>25</v>
      </c>
      <c r="BP5" s="0" t="s">
        <v>25</v>
      </c>
      <c r="BQ5" s="0" t="s">
        <v>25</v>
      </c>
      <c r="BR5" s="0" t="s">
        <v>25</v>
      </c>
      <c r="BS5" s="0" t="s">
        <v>25</v>
      </c>
      <c r="BT5" s="0" t="s">
        <v>236</v>
      </c>
      <c r="BU5" s="0" t="s">
        <v>237</v>
      </c>
      <c r="BV5" s="0" t="s">
        <v>238</v>
      </c>
      <c r="BW5" s="0" t="s">
        <v>239</v>
      </c>
      <c r="BX5" s="0" t="s">
        <v>240</v>
      </c>
      <c r="BY5" s="0" t="s">
        <v>241</v>
      </c>
      <c r="BZ5" s="0" t="s">
        <v>242</v>
      </c>
      <c r="CA5" s="0" t="s">
        <v>243</v>
      </c>
      <c r="CB5" s="0" t="s">
        <v>244</v>
      </c>
      <c r="CC5" s="0" t="s">
        <v>245</v>
      </c>
      <c r="CD5" s="0" t="s">
        <v>246</v>
      </c>
      <c r="CE5" s="0" t="s">
        <v>247</v>
      </c>
      <c r="CF5" s="0" t="s">
        <v>248</v>
      </c>
      <c r="CG5" s="0" t="s">
        <v>249</v>
      </c>
      <c r="CH5" s="0" t="s">
        <v>250</v>
      </c>
      <c r="CI5" s="0" t="s">
        <v>251</v>
      </c>
    </row>
    <row r="6" customFormat="false" ht="12.8" hidden="false" customHeight="false" outlineLevel="0" collapsed="false">
      <c r="A6" s="0" t="s">
        <v>252</v>
      </c>
      <c r="B6" s="0" t="s">
        <v>24</v>
      </c>
      <c r="C6" s="0" t="n">
        <v>2024</v>
      </c>
      <c r="D6" s="0" t="s">
        <v>25</v>
      </c>
      <c r="E6" s="0" t="s">
        <v>253</v>
      </c>
      <c r="F6" s="0" t="s">
        <v>254</v>
      </c>
      <c r="G6" s="0" t="s">
        <v>255</v>
      </c>
      <c r="H6" s="0" t="s">
        <v>253</v>
      </c>
      <c r="I6" s="0" t="s">
        <v>256</v>
      </c>
      <c r="J6" s="0" t="s">
        <v>257</v>
      </c>
      <c r="K6" s="0" t="s">
        <v>258</v>
      </c>
      <c r="L6" s="0" t="s">
        <v>259</v>
      </c>
      <c r="M6" s="0" t="s">
        <v>253</v>
      </c>
      <c r="N6" s="0" t="s">
        <v>260</v>
      </c>
      <c r="O6" s="0" t="s">
        <v>253</v>
      </c>
      <c r="P6" s="0" t="s">
        <v>261</v>
      </c>
      <c r="Q6" s="0" t="s">
        <v>253</v>
      </c>
      <c r="R6" s="0" t="s">
        <v>253</v>
      </c>
      <c r="S6" s="0" t="s">
        <v>262</v>
      </c>
      <c r="T6" s="0" t="s">
        <v>221</v>
      </c>
      <c r="U6" s="0" t="s">
        <v>263</v>
      </c>
      <c r="V6" s="0" t="s">
        <v>264</v>
      </c>
      <c r="W6" s="0" t="s">
        <v>265</v>
      </c>
      <c r="X6" s="0" t="s">
        <v>266</v>
      </c>
      <c r="Y6" s="0" t="s">
        <v>267</v>
      </c>
      <c r="Z6" s="0" t="s">
        <v>25</v>
      </c>
      <c r="AA6" s="0" t="s">
        <v>268</v>
      </c>
      <c r="AB6" s="0" t="s">
        <v>25</v>
      </c>
      <c r="AC6" s="0" t="s">
        <v>25</v>
      </c>
      <c r="AD6" s="0" t="s">
        <v>25</v>
      </c>
      <c r="AE6" s="0" t="s">
        <v>25</v>
      </c>
      <c r="AF6" s="0" t="s">
        <v>25</v>
      </c>
      <c r="AG6" s="0" t="s">
        <v>25</v>
      </c>
      <c r="AH6" s="0" t="s">
        <v>25</v>
      </c>
      <c r="AI6" s="0" t="s">
        <v>25</v>
      </c>
      <c r="AJ6" s="0" t="s">
        <v>25</v>
      </c>
      <c r="AK6" s="0" t="s">
        <v>25</v>
      </c>
      <c r="AL6" s="0" t="s">
        <v>25</v>
      </c>
      <c r="AM6" s="0" t="s">
        <v>25</v>
      </c>
      <c r="AN6" s="0" t="s">
        <v>269</v>
      </c>
      <c r="AO6" s="0" t="s">
        <v>270</v>
      </c>
      <c r="AP6" s="0" t="s">
        <v>25</v>
      </c>
      <c r="AQ6" s="0" t="s">
        <v>271</v>
      </c>
      <c r="AR6" s="0" t="s">
        <v>25</v>
      </c>
      <c r="AS6" s="0" t="s">
        <v>25</v>
      </c>
      <c r="AT6" s="0" t="s">
        <v>25</v>
      </c>
      <c r="AU6" s="0" t="s">
        <v>25</v>
      </c>
      <c r="AV6" s="0" t="s">
        <v>25</v>
      </c>
      <c r="AW6" s="0" t="s">
        <v>25</v>
      </c>
      <c r="AX6" s="0" t="s">
        <v>25</v>
      </c>
      <c r="AY6" s="0" t="s">
        <v>25</v>
      </c>
      <c r="AZ6" s="0" t="s">
        <v>25</v>
      </c>
      <c r="BA6" s="0" t="s">
        <v>25</v>
      </c>
      <c r="BB6" s="0" t="s">
        <v>25</v>
      </c>
      <c r="BC6" s="0" t="s">
        <v>25</v>
      </c>
      <c r="BD6" s="0" t="s">
        <v>25</v>
      </c>
      <c r="BE6" s="0" t="s">
        <v>272</v>
      </c>
      <c r="BF6" s="0" t="s">
        <v>25</v>
      </c>
      <c r="BG6" s="0" t="s">
        <v>273</v>
      </c>
      <c r="BH6" s="0" t="s">
        <v>25</v>
      </c>
      <c r="BI6" s="0" t="s">
        <v>25</v>
      </c>
      <c r="BJ6" s="0" t="s">
        <v>25</v>
      </c>
      <c r="BK6" s="0" t="s">
        <v>25</v>
      </c>
      <c r="BL6" s="0" t="s">
        <v>25</v>
      </c>
      <c r="BM6" s="0" t="s">
        <v>25</v>
      </c>
      <c r="BN6" s="0" t="s">
        <v>25</v>
      </c>
      <c r="BO6" s="0" t="s">
        <v>25</v>
      </c>
      <c r="BP6" s="0" t="s">
        <v>25</v>
      </c>
      <c r="BQ6" s="0" t="s">
        <v>25</v>
      </c>
      <c r="BR6" s="0" t="s">
        <v>25</v>
      </c>
      <c r="BS6" s="0" t="s">
        <v>25</v>
      </c>
      <c r="BT6" s="0" t="s">
        <v>274</v>
      </c>
      <c r="BU6" s="0" t="s">
        <v>275</v>
      </c>
      <c r="BV6" s="0" t="s">
        <v>276</v>
      </c>
      <c r="BW6" s="0" t="s">
        <v>277</v>
      </c>
      <c r="BX6" s="0" t="s">
        <v>278</v>
      </c>
      <c r="BY6" s="0" t="s">
        <v>279</v>
      </c>
      <c r="BZ6" s="0" t="s">
        <v>280</v>
      </c>
      <c r="CA6" s="0" t="s">
        <v>281</v>
      </c>
      <c r="CB6" s="0" t="s">
        <v>282</v>
      </c>
      <c r="CC6" s="0" t="s">
        <v>283</v>
      </c>
      <c r="CD6" s="0" t="s">
        <v>284</v>
      </c>
      <c r="CE6" s="0" t="s">
        <v>285</v>
      </c>
      <c r="CF6" s="0" t="s">
        <v>286</v>
      </c>
      <c r="CG6" s="0" t="s">
        <v>287</v>
      </c>
      <c r="CH6" s="0" t="s">
        <v>288</v>
      </c>
      <c r="CI6" s="0" t="s">
        <v>289</v>
      </c>
    </row>
    <row r="7" customFormat="false" ht="12.8" hidden="false" customHeight="false" outlineLevel="0" collapsed="false">
      <c r="A7" s="0" t="s">
        <v>290</v>
      </c>
      <c r="B7" s="0" t="s">
        <v>46</v>
      </c>
      <c r="C7" s="0" t="n">
        <v>2024</v>
      </c>
      <c r="D7" s="0" t="s">
        <v>291</v>
      </c>
      <c r="E7" s="0" t="s">
        <v>292</v>
      </c>
      <c r="F7" s="0" t="s">
        <v>293</v>
      </c>
      <c r="G7" s="0" t="s">
        <v>294</v>
      </c>
      <c r="H7" s="0" t="s">
        <v>295</v>
      </c>
      <c r="I7" s="0" t="s">
        <v>296</v>
      </c>
      <c r="J7" s="0" t="s">
        <v>297</v>
      </c>
      <c r="K7" s="0" t="s">
        <v>298</v>
      </c>
      <c r="L7" s="0" t="s">
        <v>299</v>
      </c>
      <c r="M7" s="0" t="s">
        <v>300</v>
      </c>
      <c r="N7" s="0" t="s">
        <v>301</v>
      </c>
      <c r="O7" s="0" t="s">
        <v>302</v>
      </c>
      <c r="P7" s="0" t="s">
        <v>303</v>
      </c>
      <c r="Q7" s="0" t="s">
        <v>304</v>
      </c>
      <c r="R7" s="0" t="s">
        <v>305</v>
      </c>
      <c r="S7" s="0" t="s">
        <v>306</v>
      </c>
      <c r="T7" s="0" t="s">
        <v>307</v>
      </c>
      <c r="U7" s="0" t="s">
        <v>308</v>
      </c>
      <c r="V7" s="0" t="s">
        <v>309</v>
      </c>
      <c r="W7" s="0" t="s">
        <v>310</v>
      </c>
      <c r="X7" s="0" t="s">
        <v>311</v>
      </c>
      <c r="Y7" s="0" t="s">
        <v>312</v>
      </c>
      <c r="Z7" s="0" t="s">
        <v>313</v>
      </c>
      <c r="AA7" s="0" t="s">
        <v>314</v>
      </c>
      <c r="AB7" s="0" t="s">
        <v>25</v>
      </c>
      <c r="AC7" s="0" t="s">
        <v>25</v>
      </c>
      <c r="AD7" s="0" t="s">
        <v>25</v>
      </c>
      <c r="AE7" s="0" t="s">
        <v>25</v>
      </c>
      <c r="AF7" s="0" t="s">
        <v>25</v>
      </c>
      <c r="AG7" s="0" t="s">
        <v>25</v>
      </c>
      <c r="AH7" s="0" t="s">
        <v>25</v>
      </c>
      <c r="AI7" s="0" t="s">
        <v>25</v>
      </c>
      <c r="AJ7" s="0" t="s">
        <v>25</v>
      </c>
      <c r="AK7" s="0" t="s">
        <v>25</v>
      </c>
      <c r="AL7" s="0" t="s">
        <v>25</v>
      </c>
      <c r="AM7" s="0" t="s">
        <v>25</v>
      </c>
      <c r="AN7" s="0" t="s">
        <v>315</v>
      </c>
      <c r="AO7" s="0" t="s">
        <v>316</v>
      </c>
      <c r="AP7" s="0" t="s">
        <v>317</v>
      </c>
      <c r="AQ7" s="0" t="s">
        <v>318</v>
      </c>
      <c r="AR7" s="0" t="s">
        <v>25</v>
      </c>
      <c r="AS7" s="0" t="s">
        <v>25</v>
      </c>
      <c r="AT7" s="0" t="s">
        <v>25</v>
      </c>
      <c r="AU7" s="0" t="s">
        <v>25</v>
      </c>
      <c r="AV7" s="0" t="s">
        <v>25</v>
      </c>
      <c r="AW7" s="0" t="s">
        <v>25</v>
      </c>
      <c r="AX7" s="0" t="s">
        <v>25</v>
      </c>
      <c r="AY7" s="0" t="s">
        <v>25</v>
      </c>
      <c r="AZ7" s="0" t="s">
        <v>25</v>
      </c>
      <c r="BA7" s="0" t="s">
        <v>25</v>
      </c>
      <c r="BB7" s="0" t="s">
        <v>25</v>
      </c>
      <c r="BC7" s="0" t="s">
        <v>25</v>
      </c>
      <c r="BD7" s="0" t="s">
        <v>25</v>
      </c>
      <c r="BE7" s="0" t="s">
        <v>319</v>
      </c>
      <c r="BF7" s="0" t="s">
        <v>320</v>
      </c>
      <c r="BG7" s="0" t="s">
        <v>321</v>
      </c>
      <c r="BH7" s="0" t="s">
        <v>25</v>
      </c>
      <c r="BI7" s="0" t="s">
        <v>25</v>
      </c>
      <c r="BJ7" s="0" t="s">
        <v>25</v>
      </c>
      <c r="BK7" s="0" t="s">
        <v>25</v>
      </c>
      <c r="BL7" s="0" t="s">
        <v>25</v>
      </c>
      <c r="BM7" s="0" t="s">
        <v>25</v>
      </c>
      <c r="BN7" s="0" t="s">
        <v>25</v>
      </c>
      <c r="BO7" s="0" t="s">
        <v>25</v>
      </c>
      <c r="BP7" s="0" t="s">
        <v>25</v>
      </c>
      <c r="BQ7" s="0" t="s">
        <v>25</v>
      </c>
      <c r="BR7" s="0" t="s">
        <v>25</v>
      </c>
      <c r="BS7" s="0" t="s">
        <v>25</v>
      </c>
      <c r="BT7" s="0" t="s">
        <v>322</v>
      </c>
      <c r="BU7" s="0" t="s">
        <v>323</v>
      </c>
      <c r="BV7" s="0" t="s">
        <v>324</v>
      </c>
      <c r="BW7" s="0" t="s">
        <v>325</v>
      </c>
      <c r="BX7" s="0" t="s">
        <v>326</v>
      </c>
      <c r="BY7" s="0" t="s">
        <v>327</v>
      </c>
      <c r="BZ7" s="0" t="s">
        <v>328</v>
      </c>
      <c r="CA7" s="0" t="s">
        <v>329</v>
      </c>
      <c r="CB7" s="0" t="s">
        <v>330</v>
      </c>
      <c r="CC7" s="0" t="s">
        <v>331</v>
      </c>
      <c r="CD7" s="0" t="s">
        <v>332</v>
      </c>
      <c r="CE7" s="0" t="s">
        <v>333</v>
      </c>
      <c r="CF7" s="0" t="s">
        <v>334</v>
      </c>
      <c r="CG7" s="0" t="s">
        <v>335</v>
      </c>
      <c r="CH7" s="0" t="s">
        <v>336</v>
      </c>
      <c r="CI7" s="0" t="s">
        <v>337</v>
      </c>
    </row>
    <row r="8" customFormat="false" ht="12.8" hidden="false" customHeight="false" outlineLevel="0" collapsed="false">
      <c r="A8" s="0" t="s">
        <v>338</v>
      </c>
      <c r="B8" s="0" t="s">
        <v>24</v>
      </c>
      <c r="C8" s="0" t="n">
        <v>2023</v>
      </c>
      <c r="D8" s="0" t="s">
        <v>25</v>
      </c>
      <c r="E8" s="0" t="s">
        <v>339</v>
      </c>
      <c r="F8" s="0" t="s">
        <v>340</v>
      </c>
      <c r="G8" s="0" t="s">
        <v>341</v>
      </c>
      <c r="H8" s="0" t="s">
        <v>339</v>
      </c>
      <c r="I8" s="0" t="s">
        <v>342</v>
      </c>
      <c r="J8" s="0" t="s">
        <v>343</v>
      </c>
      <c r="K8" s="0" t="s">
        <v>344</v>
      </c>
      <c r="L8" s="0" t="s">
        <v>345</v>
      </c>
      <c r="M8" s="0" t="s">
        <v>339</v>
      </c>
      <c r="N8" s="0" t="s">
        <v>346</v>
      </c>
      <c r="O8" s="0" t="s">
        <v>339</v>
      </c>
      <c r="P8" s="0" t="s">
        <v>347</v>
      </c>
      <c r="Q8" s="0" t="s">
        <v>339</v>
      </c>
      <c r="R8" s="0" t="s">
        <v>339</v>
      </c>
      <c r="S8" s="0" t="s">
        <v>348</v>
      </c>
      <c r="T8" s="0" t="s">
        <v>349</v>
      </c>
      <c r="U8" s="0" t="s">
        <v>350</v>
      </c>
      <c r="V8" s="0" t="s">
        <v>351</v>
      </c>
      <c r="W8" s="0" t="s">
        <v>352</v>
      </c>
      <c r="X8" s="0" t="s">
        <v>353</v>
      </c>
      <c r="Y8" s="0" t="s">
        <v>354</v>
      </c>
      <c r="Z8" s="0" t="s">
        <v>25</v>
      </c>
      <c r="AA8" s="0" t="s">
        <v>355</v>
      </c>
      <c r="AB8" s="0" t="s">
        <v>25</v>
      </c>
      <c r="AC8" s="0" t="s">
        <v>25</v>
      </c>
      <c r="AD8" s="0" t="s">
        <v>25</v>
      </c>
      <c r="AE8" s="0" t="s">
        <v>25</v>
      </c>
      <c r="AF8" s="0" t="s">
        <v>25</v>
      </c>
      <c r="AG8" s="0" t="s">
        <v>25</v>
      </c>
      <c r="AH8" s="0" t="s">
        <v>25</v>
      </c>
      <c r="AI8" s="0" t="s">
        <v>25</v>
      </c>
      <c r="AJ8" s="0" t="s">
        <v>25</v>
      </c>
      <c r="AK8" s="0" t="s">
        <v>25</v>
      </c>
      <c r="AL8" s="0" t="s">
        <v>25</v>
      </c>
      <c r="AM8" s="0" t="s">
        <v>25</v>
      </c>
      <c r="AN8" s="0" t="s">
        <v>356</v>
      </c>
      <c r="AO8" s="0" t="s">
        <v>357</v>
      </c>
      <c r="AP8" s="0" t="s">
        <v>25</v>
      </c>
      <c r="AQ8" s="0" t="s">
        <v>358</v>
      </c>
      <c r="AR8" s="0" t="s">
        <v>25</v>
      </c>
      <c r="AS8" s="0" t="s">
        <v>25</v>
      </c>
      <c r="AT8" s="0" t="s">
        <v>25</v>
      </c>
      <c r="AU8" s="0" t="s">
        <v>25</v>
      </c>
      <c r="AV8" s="0" t="s">
        <v>25</v>
      </c>
      <c r="AW8" s="0" t="s">
        <v>25</v>
      </c>
      <c r="AX8" s="0" t="s">
        <v>25</v>
      </c>
      <c r="AY8" s="0" t="s">
        <v>25</v>
      </c>
      <c r="AZ8" s="0" t="s">
        <v>25</v>
      </c>
      <c r="BA8" s="0" t="s">
        <v>25</v>
      </c>
      <c r="BB8" s="0" t="s">
        <v>25</v>
      </c>
      <c r="BC8" s="0" t="s">
        <v>25</v>
      </c>
      <c r="BD8" s="0" t="s">
        <v>25</v>
      </c>
      <c r="BE8" s="0" t="s">
        <v>359</v>
      </c>
      <c r="BF8" s="0" t="s">
        <v>25</v>
      </c>
      <c r="BG8" s="0" t="s">
        <v>360</v>
      </c>
      <c r="BH8" s="0" t="s">
        <v>25</v>
      </c>
      <c r="BI8" s="0" t="s">
        <v>25</v>
      </c>
      <c r="BJ8" s="0" t="s">
        <v>25</v>
      </c>
      <c r="BK8" s="0" t="s">
        <v>25</v>
      </c>
      <c r="BL8" s="0" t="s">
        <v>25</v>
      </c>
      <c r="BM8" s="0" t="s">
        <v>25</v>
      </c>
      <c r="BN8" s="0" t="s">
        <v>25</v>
      </c>
      <c r="BO8" s="0" t="s">
        <v>25</v>
      </c>
      <c r="BP8" s="0" t="s">
        <v>25</v>
      </c>
      <c r="BQ8" s="0" t="s">
        <v>25</v>
      </c>
      <c r="BR8" s="0" t="s">
        <v>25</v>
      </c>
      <c r="BS8" s="0" t="s">
        <v>25</v>
      </c>
      <c r="BT8" s="0" t="s">
        <v>361</v>
      </c>
      <c r="BU8" s="0" t="s">
        <v>362</v>
      </c>
      <c r="BV8" s="0" t="s">
        <v>363</v>
      </c>
      <c r="BW8" s="0" t="s">
        <v>364</v>
      </c>
      <c r="BX8" s="0" t="s">
        <v>365</v>
      </c>
      <c r="BY8" s="0" t="s">
        <v>366</v>
      </c>
      <c r="BZ8" s="0" t="s">
        <v>367</v>
      </c>
      <c r="CA8" s="0" t="s">
        <v>368</v>
      </c>
      <c r="CB8" s="0" t="s">
        <v>369</v>
      </c>
      <c r="CC8" s="0" t="s">
        <v>370</v>
      </c>
      <c r="CD8" s="0" t="s">
        <v>371</v>
      </c>
      <c r="CE8" s="0" t="s">
        <v>372</v>
      </c>
      <c r="CF8" s="0" t="s">
        <v>373</v>
      </c>
      <c r="CG8" s="0" t="s">
        <v>374</v>
      </c>
      <c r="CH8" s="0" t="s">
        <v>375</v>
      </c>
      <c r="CI8" s="0" t="s">
        <v>376</v>
      </c>
    </row>
    <row r="9" customFormat="false" ht="12.8" hidden="false" customHeight="false" outlineLevel="0" collapsed="false">
      <c r="A9" s="0" t="s">
        <v>377</v>
      </c>
      <c r="B9" s="0" t="s">
        <v>46</v>
      </c>
      <c r="C9" s="0" t="n">
        <v>2023</v>
      </c>
      <c r="D9" s="0" t="s">
        <v>378</v>
      </c>
      <c r="E9" s="0" t="s">
        <v>379</v>
      </c>
      <c r="F9" s="0" t="s">
        <v>380</v>
      </c>
      <c r="G9" s="0" t="s">
        <v>381</v>
      </c>
      <c r="H9" s="0" t="s">
        <v>382</v>
      </c>
      <c r="I9" s="0" t="s">
        <v>383</v>
      </c>
      <c r="J9" s="0" t="s">
        <v>384</v>
      </c>
      <c r="K9" s="0" t="s">
        <v>385</v>
      </c>
      <c r="L9" s="0" t="s">
        <v>386</v>
      </c>
      <c r="M9" s="0" t="s">
        <v>387</v>
      </c>
      <c r="N9" s="0" t="s">
        <v>388</v>
      </c>
      <c r="O9" s="0" t="s">
        <v>389</v>
      </c>
      <c r="P9" s="0" t="s">
        <v>390</v>
      </c>
      <c r="Q9" s="0" t="s">
        <v>391</v>
      </c>
      <c r="R9" s="0" t="s">
        <v>392</v>
      </c>
      <c r="S9" s="0" t="s">
        <v>393</v>
      </c>
      <c r="T9" s="0" t="s">
        <v>394</v>
      </c>
      <c r="U9" s="0" t="s">
        <v>395</v>
      </c>
      <c r="V9" s="0" t="s">
        <v>396</v>
      </c>
      <c r="W9" s="0" t="s">
        <v>397</v>
      </c>
      <c r="X9" s="0" t="s">
        <v>398</v>
      </c>
      <c r="Y9" s="0" t="s">
        <v>399</v>
      </c>
      <c r="Z9" s="0" t="s">
        <v>25</v>
      </c>
      <c r="AA9" s="0" t="s">
        <v>400</v>
      </c>
      <c r="AB9" s="0" t="s">
        <v>25</v>
      </c>
      <c r="AC9" s="0" t="s">
        <v>25</v>
      </c>
      <c r="AD9" s="0" t="s">
        <v>25</v>
      </c>
      <c r="AE9" s="0" t="s">
        <v>25</v>
      </c>
      <c r="AF9" s="0" t="s">
        <v>25</v>
      </c>
      <c r="AG9" s="0" t="s">
        <v>25</v>
      </c>
      <c r="AH9" s="0" t="s">
        <v>25</v>
      </c>
      <c r="AI9" s="0" t="s">
        <v>25</v>
      </c>
      <c r="AJ9" s="0" t="s">
        <v>25</v>
      </c>
      <c r="AK9" s="0" t="s">
        <v>25</v>
      </c>
      <c r="AL9" s="0" t="s">
        <v>25</v>
      </c>
      <c r="AM9" s="0" t="s">
        <v>25</v>
      </c>
      <c r="AN9" s="0" t="s">
        <v>401</v>
      </c>
      <c r="AO9" s="0" t="s">
        <v>402</v>
      </c>
      <c r="AP9" s="0" t="s">
        <v>25</v>
      </c>
      <c r="AQ9" s="0" t="s">
        <v>403</v>
      </c>
      <c r="AR9" s="0" t="s">
        <v>25</v>
      </c>
      <c r="AS9" s="0" t="s">
        <v>25</v>
      </c>
      <c r="AT9" s="0" t="s">
        <v>25</v>
      </c>
      <c r="AU9" s="0" t="s">
        <v>25</v>
      </c>
      <c r="AV9" s="0" t="s">
        <v>25</v>
      </c>
      <c r="AW9" s="0" t="s">
        <v>25</v>
      </c>
      <c r="AX9" s="0" t="s">
        <v>25</v>
      </c>
      <c r="AY9" s="0" t="s">
        <v>25</v>
      </c>
      <c r="AZ9" s="0" t="s">
        <v>25</v>
      </c>
      <c r="BA9" s="0" t="s">
        <v>25</v>
      </c>
      <c r="BB9" s="0" t="s">
        <v>25</v>
      </c>
      <c r="BC9" s="0" t="s">
        <v>25</v>
      </c>
      <c r="BD9" s="0" t="s">
        <v>25</v>
      </c>
      <c r="BE9" s="0" t="s">
        <v>404</v>
      </c>
      <c r="BF9" s="0" t="s">
        <v>25</v>
      </c>
      <c r="BG9" s="0" t="s">
        <v>405</v>
      </c>
      <c r="BH9" s="0" t="s">
        <v>25</v>
      </c>
      <c r="BI9" s="0" t="s">
        <v>25</v>
      </c>
      <c r="BJ9" s="0" t="s">
        <v>25</v>
      </c>
      <c r="BK9" s="0" t="s">
        <v>25</v>
      </c>
      <c r="BL9" s="0" t="s">
        <v>25</v>
      </c>
      <c r="BM9" s="0" t="s">
        <v>25</v>
      </c>
      <c r="BN9" s="0" t="s">
        <v>25</v>
      </c>
      <c r="BO9" s="0" t="s">
        <v>25</v>
      </c>
      <c r="BP9" s="0" t="s">
        <v>25</v>
      </c>
      <c r="BQ9" s="0" t="s">
        <v>25</v>
      </c>
      <c r="BR9" s="0" t="s">
        <v>25</v>
      </c>
      <c r="BS9" s="0" t="s">
        <v>25</v>
      </c>
      <c r="BT9" s="0" t="s">
        <v>406</v>
      </c>
      <c r="BU9" s="0" t="s">
        <v>407</v>
      </c>
      <c r="BV9" s="0" t="s">
        <v>408</v>
      </c>
      <c r="BW9" s="0" t="s">
        <v>409</v>
      </c>
      <c r="BX9" s="0" t="s">
        <v>410</v>
      </c>
      <c r="BY9" s="0" t="s">
        <v>411</v>
      </c>
      <c r="BZ9" s="0" t="s">
        <v>412</v>
      </c>
      <c r="CA9" s="0" t="s">
        <v>413</v>
      </c>
      <c r="CB9" s="0" t="s">
        <v>414</v>
      </c>
      <c r="CC9" s="0" t="s">
        <v>415</v>
      </c>
      <c r="CD9" s="0" t="s">
        <v>416</v>
      </c>
      <c r="CE9" s="0" t="s">
        <v>417</v>
      </c>
      <c r="CF9" s="0" t="s">
        <v>418</v>
      </c>
      <c r="CG9" s="0" t="s">
        <v>419</v>
      </c>
      <c r="CH9" s="0" t="s">
        <v>420</v>
      </c>
      <c r="CI9" s="0" t="s">
        <v>421</v>
      </c>
    </row>
    <row r="10" customFormat="false" ht="12.8" hidden="false" customHeight="false" outlineLevel="0" collapsed="false">
      <c r="A10" s="0" t="s">
        <v>422</v>
      </c>
      <c r="B10" s="0" t="s">
        <v>24</v>
      </c>
      <c r="C10" s="0" t="n">
        <v>2022</v>
      </c>
      <c r="D10" s="0" t="s">
        <v>25</v>
      </c>
      <c r="E10" s="0" t="s">
        <v>423</v>
      </c>
      <c r="F10" s="0" t="s">
        <v>424</v>
      </c>
      <c r="G10" s="0" t="s">
        <v>425</v>
      </c>
      <c r="H10" s="0" t="s">
        <v>423</v>
      </c>
      <c r="I10" s="0" t="s">
        <v>426</v>
      </c>
      <c r="J10" s="0" t="s">
        <v>427</v>
      </c>
      <c r="K10" s="0" t="s">
        <v>428</v>
      </c>
      <c r="L10" s="0" t="s">
        <v>429</v>
      </c>
      <c r="M10" s="0" t="s">
        <v>423</v>
      </c>
      <c r="N10" s="0" t="s">
        <v>430</v>
      </c>
      <c r="O10" s="0" t="s">
        <v>423</v>
      </c>
      <c r="P10" s="0" t="s">
        <v>431</v>
      </c>
      <c r="Q10" s="0" t="s">
        <v>423</v>
      </c>
      <c r="R10" s="0" t="s">
        <v>423</v>
      </c>
      <c r="S10" s="0" t="s">
        <v>432</v>
      </c>
      <c r="T10" s="0" t="s">
        <v>394</v>
      </c>
      <c r="U10" s="0" t="s">
        <v>433</v>
      </c>
      <c r="V10" s="0" t="s">
        <v>434</v>
      </c>
      <c r="W10" s="0" t="s">
        <v>435</v>
      </c>
      <c r="X10" s="0" t="s">
        <v>436</v>
      </c>
      <c r="Y10" s="0" t="s">
        <v>437</v>
      </c>
      <c r="Z10" s="0" t="s">
        <v>25</v>
      </c>
      <c r="AA10" s="0" t="s">
        <v>25</v>
      </c>
      <c r="AB10" s="0" t="s">
        <v>25</v>
      </c>
      <c r="AC10" s="0" t="s">
        <v>25</v>
      </c>
      <c r="AD10" s="0" t="s">
        <v>25</v>
      </c>
      <c r="AE10" s="0" t="s">
        <v>25</v>
      </c>
      <c r="AF10" s="0" t="s">
        <v>25</v>
      </c>
      <c r="AG10" s="0" t="s">
        <v>25</v>
      </c>
      <c r="AH10" s="0" t="s">
        <v>25</v>
      </c>
      <c r="AI10" s="0" t="s">
        <v>25</v>
      </c>
      <c r="AJ10" s="0" t="s">
        <v>25</v>
      </c>
      <c r="AK10" s="0" t="s">
        <v>25</v>
      </c>
      <c r="AL10" s="0" t="s">
        <v>25</v>
      </c>
      <c r="AM10" s="0" t="s">
        <v>25</v>
      </c>
      <c r="AN10" s="0" t="s">
        <v>438</v>
      </c>
      <c r="AO10" s="0" t="s">
        <v>439</v>
      </c>
      <c r="AP10" s="0" t="s">
        <v>25</v>
      </c>
      <c r="AQ10" s="0" t="s">
        <v>25</v>
      </c>
      <c r="AR10" s="0" t="s">
        <v>25</v>
      </c>
      <c r="AS10" s="0" t="s">
        <v>25</v>
      </c>
      <c r="AT10" s="0" t="s">
        <v>25</v>
      </c>
      <c r="AU10" s="0" t="s">
        <v>25</v>
      </c>
      <c r="AV10" s="0" t="s">
        <v>25</v>
      </c>
      <c r="AW10" s="0" t="s">
        <v>25</v>
      </c>
      <c r="AX10" s="0" t="s">
        <v>25</v>
      </c>
      <c r="AY10" s="0" t="s">
        <v>25</v>
      </c>
      <c r="AZ10" s="0" t="s">
        <v>25</v>
      </c>
      <c r="BA10" s="0" t="s">
        <v>25</v>
      </c>
      <c r="BB10" s="0" t="s">
        <v>25</v>
      </c>
      <c r="BC10" s="0" t="s">
        <v>25</v>
      </c>
      <c r="BD10" s="0" t="s">
        <v>25</v>
      </c>
      <c r="BE10" s="0" t="s">
        <v>440</v>
      </c>
      <c r="BF10" s="0" t="s">
        <v>25</v>
      </c>
      <c r="BG10" s="0" t="s">
        <v>25</v>
      </c>
      <c r="BH10" s="0" t="s">
        <v>25</v>
      </c>
      <c r="BI10" s="0" t="s">
        <v>25</v>
      </c>
      <c r="BJ10" s="0" t="s">
        <v>25</v>
      </c>
      <c r="BK10" s="0" t="s">
        <v>25</v>
      </c>
      <c r="BL10" s="0" t="s">
        <v>25</v>
      </c>
      <c r="BM10" s="0" t="s">
        <v>25</v>
      </c>
      <c r="BN10" s="0" t="s">
        <v>25</v>
      </c>
      <c r="BO10" s="0" t="s">
        <v>25</v>
      </c>
      <c r="BP10" s="0" t="s">
        <v>25</v>
      </c>
      <c r="BQ10" s="0" t="s">
        <v>25</v>
      </c>
      <c r="BR10" s="0" t="s">
        <v>25</v>
      </c>
      <c r="BS10" s="0" t="s">
        <v>25</v>
      </c>
      <c r="BT10" s="0" t="s">
        <v>441</v>
      </c>
      <c r="BU10" s="0" t="s">
        <v>442</v>
      </c>
      <c r="BV10" s="0" t="s">
        <v>443</v>
      </c>
      <c r="BW10" s="0" t="s">
        <v>444</v>
      </c>
      <c r="BX10" s="0" t="s">
        <v>445</v>
      </c>
      <c r="BY10" s="0" t="s">
        <v>446</v>
      </c>
      <c r="BZ10" s="0" t="s">
        <v>447</v>
      </c>
      <c r="CA10" s="0" t="s">
        <v>448</v>
      </c>
      <c r="CB10" s="0" t="s">
        <v>449</v>
      </c>
      <c r="CC10" s="0" t="s">
        <v>450</v>
      </c>
      <c r="CD10" s="0" t="s">
        <v>451</v>
      </c>
      <c r="CE10" s="0" t="s">
        <v>452</v>
      </c>
      <c r="CF10" s="0" t="s">
        <v>453</v>
      </c>
      <c r="CG10" s="0" t="s">
        <v>454</v>
      </c>
      <c r="CH10" s="0" t="s">
        <v>455</v>
      </c>
      <c r="CI10" s="0" t="s">
        <v>456</v>
      </c>
    </row>
    <row r="11" customFormat="false" ht="12.8" hidden="false" customHeight="false" outlineLevel="0" collapsed="false">
      <c r="A11" s="0" t="s">
        <v>457</v>
      </c>
      <c r="B11" s="0" t="s">
        <v>46</v>
      </c>
      <c r="C11" s="0" t="n">
        <v>2022</v>
      </c>
      <c r="D11" s="0" t="s">
        <v>458</v>
      </c>
      <c r="E11" s="0" t="s">
        <v>459</v>
      </c>
      <c r="F11" s="0" t="s">
        <v>460</v>
      </c>
      <c r="G11" s="0" t="s">
        <v>461</v>
      </c>
      <c r="H11" s="0" t="s">
        <v>462</v>
      </c>
      <c r="I11" s="0" t="s">
        <v>463</v>
      </c>
      <c r="J11" s="0" t="s">
        <v>464</v>
      </c>
      <c r="K11" s="0" t="s">
        <v>465</v>
      </c>
      <c r="L11" s="0" t="s">
        <v>466</v>
      </c>
      <c r="M11" s="0" t="s">
        <v>467</v>
      </c>
      <c r="N11" s="0" t="s">
        <v>468</v>
      </c>
      <c r="O11" s="0" t="s">
        <v>469</v>
      </c>
      <c r="P11" s="0" t="s">
        <v>470</v>
      </c>
      <c r="Q11" s="0" t="s">
        <v>471</v>
      </c>
      <c r="R11" s="0" t="s">
        <v>472</v>
      </c>
      <c r="S11" s="0" t="s">
        <v>473</v>
      </c>
      <c r="T11" s="0" t="s">
        <v>394</v>
      </c>
      <c r="U11" s="0" t="s">
        <v>474</v>
      </c>
      <c r="V11" s="0" t="s">
        <v>475</v>
      </c>
      <c r="W11" s="0" t="s">
        <v>476</v>
      </c>
      <c r="X11" s="0" t="s">
        <v>477</v>
      </c>
      <c r="Y11" s="0" t="s">
        <v>478</v>
      </c>
      <c r="Z11" s="0" t="s">
        <v>25</v>
      </c>
      <c r="AA11" s="0" t="s">
        <v>25</v>
      </c>
      <c r="AB11" s="0" t="s">
        <v>25</v>
      </c>
      <c r="AC11" s="0" t="s">
        <v>25</v>
      </c>
      <c r="AD11" s="0" t="s">
        <v>25</v>
      </c>
      <c r="AE11" s="0" t="s">
        <v>25</v>
      </c>
      <c r="AF11" s="0" t="s">
        <v>25</v>
      </c>
      <c r="AG11" s="0" t="s">
        <v>25</v>
      </c>
      <c r="AH11" s="0" t="s">
        <v>25</v>
      </c>
      <c r="AI11" s="0" t="s">
        <v>25</v>
      </c>
      <c r="AJ11" s="0" t="s">
        <v>25</v>
      </c>
      <c r="AK11" s="0" t="s">
        <v>25</v>
      </c>
      <c r="AL11" s="0" t="s">
        <v>25</v>
      </c>
      <c r="AM11" s="0" t="s">
        <v>25</v>
      </c>
      <c r="AN11" s="0" t="s">
        <v>479</v>
      </c>
      <c r="AO11" s="0" t="s">
        <v>480</v>
      </c>
      <c r="AP11" s="0" t="s">
        <v>25</v>
      </c>
      <c r="AQ11" s="0" t="s">
        <v>25</v>
      </c>
      <c r="AR11" s="0" t="s">
        <v>25</v>
      </c>
      <c r="AS11" s="0" t="s">
        <v>25</v>
      </c>
      <c r="AT11" s="0" t="s">
        <v>25</v>
      </c>
      <c r="AU11" s="0" t="s">
        <v>25</v>
      </c>
      <c r="AV11" s="0" t="s">
        <v>25</v>
      </c>
      <c r="AW11" s="0" t="s">
        <v>25</v>
      </c>
      <c r="AX11" s="0" t="s">
        <v>25</v>
      </c>
      <c r="AY11" s="0" t="s">
        <v>25</v>
      </c>
      <c r="AZ11" s="0" t="s">
        <v>25</v>
      </c>
      <c r="BA11" s="0" t="s">
        <v>25</v>
      </c>
      <c r="BB11" s="0" t="s">
        <v>25</v>
      </c>
      <c r="BC11" s="0" t="s">
        <v>25</v>
      </c>
      <c r="BD11" s="0" t="s">
        <v>25</v>
      </c>
      <c r="BE11" s="1" t="s">
        <v>481</v>
      </c>
      <c r="BF11" s="0" t="s">
        <v>25</v>
      </c>
      <c r="BG11" s="0" t="s">
        <v>25</v>
      </c>
      <c r="BH11" s="0" t="s">
        <v>25</v>
      </c>
      <c r="BI11" s="0" t="s">
        <v>25</v>
      </c>
      <c r="BJ11" s="0" t="s">
        <v>25</v>
      </c>
      <c r="BK11" s="0" t="s">
        <v>25</v>
      </c>
      <c r="BL11" s="0" t="s">
        <v>25</v>
      </c>
      <c r="BM11" s="0" t="s">
        <v>25</v>
      </c>
      <c r="BN11" s="0" t="s">
        <v>25</v>
      </c>
      <c r="BO11" s="0" t="s">
        <v>25</v>
      </c>
      <c r="BP11" s="0" t="s">
        <v>25</v>
      </c>
      <c r="BQ11" s="0" t="s">
        <v>25</v>
      </c>
      <c r="BR11" s="0" t="s">
        <v>25</v>
      </c>
      <c r="BS11" s="0" t="s">
        <v>25</v>
      </c>
      <c r="BT11" s="0" t="s">
        <v>482</v>
      </c>
      <c r="BU11" s="0" t="s">
        <v>483</v>
      </c>
      <c r="BV11" s="0" t="s">
        <v>484</v>
      </c>
      <c r="BW11" s="0" t="s">
        <v>485</v>
      </c>
      <c r="BX11" s="0" t="s">
        <v>486</v>
      </c>
      <c r="BY11" s="0" t="s">
        <v>487</v>
      </c>
      <c r="BZ11" s="0" t="s">
        <v>488</v>
      </c>
      <c r="CA11" s="0" t="s">
        <v>489</v>
      </c>
      <c r="CB11" s="0" t="s">
        <v>490</v>
      </c>
      <c r="CC11" s="0" t="s">
        <v>491</v>
      </c>
      <c r="CD11" s="0" t="s">
        <v>492</v>
      </c>
      <c r="CE11" s="0" t="s">
        <v>493</v>
      </c>
      <c r="CF11" s="0" t="s">
        <v>494</v>
      </c>
      <c r="CG11" s="0" t="s">
        <v>495</v>
      </c>
      <c r="CH11" s="0" t="s">
        <v>496</v>
      </c>
      <c r="CI11" s="0" t="s">
        <v>497</v>
      </c>
    </row>
    <row r="12" customFormat="false" ht="12.8" hidden="false" customHeight="false" outlineLevel="0" collapsed="false">
      <c r="A12" s="0" t="s">
        <v>498</v>
      </c>
      <c r="B12" s="0" t="s">
        <v>24</v>
      </c>
      <c r="C12" s="0" t="n">
        <v>2021</v>
      </c>
      <c r="D12" s="0" t="s">
        <v>25</v>
      </c>
      <c r="E12" s="0" t="s">
        <v>499</v>
      </c>
      <c r="F12" s="0" t="s">
        <v>500</v>
      </c>
      <c r="G12" s="0" t="s">
        <v>501</v>
      </c>
      <c r="H12" s="0" t="s">
        <v>499</v>
      </c>
      <c r="I12" s="0" t="s">
        <v>502</v>
      </c>
      <c r="J12" s="0" t="s">
        <v>503</v>
      </c>
      <c r="K12" s="0" t="s">
        <v>504</v>
      </c>
      <c r="L12" s="0" t="s">
        <v>505</v>
      </c>
      <c r="M12" s="0" t="s">
        <v>499</v>
      </c>
      <c r="N12" s="0" t="s">
        <v>506</v>
      </c>
      <c r="O12" s="0" t="s">
        <v>499</v>
      </c>
      <c r="P12" s="0" t="s">
        <v>507</v>
      </c>
      <c r="Q12" s="0" t="s">
        <v>499</v>
      </c>
      <c r="R12" s="0" t="s">
        <v>499</v>
      </c>
      <c r="S12" s="0" t="s">
        <v>508</v>
      </c>
      <c r="T12" s="0" t="s">
        <v>221</v>
      </c>
      <c r="U12" s="0" t="s">
        <v>509</v>
      </c>
      <c r="V12" s="0" t="s">
        <v>510</v>
      </c>
      <c r="W12" s="0" t="s">
        <v>511</v>
      </c>
      <c r="X12" s="0" t="s">
        <v>512</v>
      </c>
      <c r="Y12" s="0" t="s">
        <v>513</v>
      </c>
      <c r="Z12" s="0" t="s">
        <v>25</v>
      </c>
      <c r="AA12" s="0" t="s">
        <v>25</v>
      </c>
      <c r="AB12" s="0" t="s">
        <v>25</v>
      </c>
      <c r="AC12" s="0" t="s">
        <v>25</v>
      </c>
      <c r="AD12" s="0" t="s">
        <v>25</v>
      </c>
      <c r="AE12" s="0" t="s">
        <v>25</v>
      </c>
      <c r="AF12" s="0" t="s">
        <v>25</v>
      </c>
      <c r="AG12" s="0" t="s">
        <v>25</v>
      </c>
      <c r="AH12" s="0" t="s">
        <v>25</v>
      </c>
      <c r="AI12" s="0" t="s">
        <v>25</v>
      </c>
      <c r="AJ12" s="0" t="s">
        <v>25</v>
      </c>
      <c r="AK12" s="0" t="s">
        <v>25</v>
      </c>
      <c r="AL12" s="0" t="s">
        <v>25</v>
      </c>
      <c r="AM12" s="0" t="s">
        <v>25</v>
      </c>
      <c r="AN12" s="0" t="s">
        <v>514</v>
      </c>
      <c r="AO12" s="0" t="s">
        <v>515</v>
      </c>
      <c r="AP12" s="0" t="s">
        <v>25</v>
      </c>
      <c r="AQ12" s="0" t="s">
        <v>25</v>
      </c>
      <c r="AR12" s="0" t="s">
        <v>25</v>
      </c>
      <c r="AS12" s="0" t="s">
        <v>25</v>
      </c>
      <c r="AT12" s="0" t="s">
        <v>25</v>
      </c>
      <c r="AU12" s="0" t="s">
        <v>25</v>
      </c>
      <c r="AV12" s="0" t="s">
        <v>25</v>
      </c>
      <c r="AW12" s="0" t="s">
        <v>25</v>
      </c>
      <c r="AX12" s="0" t="s">
        <v>25</v>
      </c>
      <c r="AY12" s="0" t="s">
        <v>25</v>
      </c>
      <c r="AZ12" s="0" t="s">
        <v>25</v>
      </c>
      <c r="BA12" s="0" t="s">
        <v>25</v>
      </c>
      <c r="BB12" s="0" t="s">
        <v>25</v>
      </c>
      <c r="BC12" s="0" t="s">
        <v>25</v>
      </c>
      <c r="BD12" s="0" t="s">
        <v>25</v>
      </c>
      <c r="BE12" s="0" t="s">
        <v>516</v>
      </c>
      <c r="BF12" s="0" t="s">
        <v>25</v>
      </c>
      <c r="BG12" s="0" t="s">
        <v>25</v>
      </c>
      <c r="BH12" s="0" t="s">
        <v>25</v>
      </c>
      <c r="BI12" s="0" t="s">
        <v>25</v>
      </c>
      <c r="BJ12" s="0" t="s">
        <v>25</v>
      </c>
      <c r="BK12" s="0" t="s">
        <v>25</v>
      </c>
      <c r="BL12" s="0" t="s">
        <v>25</v>
      </c>
      <c r="BM12" s="0" t="s">
        <v>25</v>
      </c>
      <c r="BN12" s="0" t="s">
        <v>25</v>
      </c>
      <c r="BO12" s="0" t="s">
        <v>25</v>
      </c>
      <c r="BP12" s="0" t="s">
        <v>25</v>
      </c>
      <c r="BQ12" s="0" t="s">
        <v>25</v>
      </c>
      <c r="BR12" s="0" t="s">
        <v>25</v>
      </c>
      <c r="BS12" s="0" t="s">
        <v>25</v>
      </c>
      <c r="BT12" s="0" t="s">
        <v>517</v>
      </c>
      <c r="BU12" s="0" t="s">
        <v>518</v>
      </c>
      <c r="BV12" s="0" t="s">
        <v>519</v>
      </c>
      <c r="BW12" s="0" t="s">
        <v>520</v>
      </c>
      <c r="BX12" s="0" t="s">
        <v>521</v>
      </c>
      <c r="BY12" s="0" t="s">
        <v>522</v>
      </c>
      <c r="BZ12" s="0" t="s">
        <v>523</v>
      </c>
      <c r="CA12" s="0" t="s">
        <v>524</v>
      </c>
      <c r="CB12" s="0" t="s">
        <v>525</v>
      </c>
      <c r="CC12" s="0" t="s">
        <v>526</v>
      </c>
      <c r="CD12" s="0" t="s">
        <v>527</v>
      </c>
      <c r="CE12" s="0" t="s">
        <v>528</v>
      </c>
      <c r="CF12" s="0" t="s">
        <v>529</v>
      </c>
      <c r="CG12" s="0" t="s">
        <v>530</v>
      </c>
      <c r="CH12" s="0" t="s">
        <v>531</v>
      </c>
      <c r="CI12" s="0" t="s">
        <v>532</v>
      </c>
    </row>
    <row r="13" customFormat="false" ht="12.8" hidden="false" customHeight="false" outlineLevel="0" collapsed="false">
      <c r="A13" s="0" t="s">
        <v>533</v>
      </c>
      <c r="B13" s="0" t="s">
        <v>46</v>
      </c>
      <c r="C13" s="0" t="n">
        <v>2021</v>
      </c>
      <c r="D13" s="0" t="s">
        <v>534</v>
      </c>
      <c r="E13" s="0" t="s">
        <v>535</v>
      </c>
      <c r="F13" s="0" t="s">
        <v>536</v>
      </c>
      <c r="G13" s="0" t="s">
        <v>537</v>
      </c>
      <c r="H13" s="0" t="s">
        <v>538</v>
      </c>
      <c r="I13" s="0" t="s">
        <v>539</v>
      </c>
      <c r="J13" s="0" t="s">
        <v>540</v>
      </c>
      <c r="K13" s="0" t="s">
        <v>541</v>
      </c>
      <c r="L13" s="0" t="s">
        <v>542</v>
      </c>
      <c r="M13" s="0" t="s">
        <v>543</v>
      </c>
      <c r="N13" s="0" t="s">
        <v>544</v>
      </c>
      <c r="O13" s="0" t="s">
        <v>545</v>
      </c>
      <c r="P13" s="0" t="s">
        <v>546</v>
      </c>
      <c r="Q13" s="0" t="s">
        <v>547</v>
      </c>
      <c r="R13" s="0" t="s">
        <v>548</v>
      </c>
      <c r="S13" s="0" t="s">
        <v>549</v>
      </c>
      <c r="T13" s="0" t="s">
        <v>550</v>
      </c>
      <c r="U13" s="0" t="s">
        <v>25</v>
      </c>
      <c r="V13" s="0" t="s">
        <v>25</v>
      </c>
      <c r="W13" s="0" t="s">
        <v>551</v>
      </c>
      <c r="X13" s="0" t="s">
        <v>552</v>
      </c>
      <c r="Y13" s="0" t="s">
        <v>553</v>
      </c>
      <c r="Z13" s="0" t="s">
        <v>554</v>
      </c>
      <c r="AA13" s="0" t="s">
        <v>25</v>
      </c>
      <c r="AB13" s="0" t="s">
        <v>25</v>
      </c>
      <c r="AC13" s="0" t="s">
        <v>25</v>
      </c>
      <c r="AD13" s="0" t="s">
        <v>25</v>
      </c>
      <c r="AE13" s="0" t="s">
        <v>25</v>
      </c>
      <c r="AF13" s="0" t="s">
        <v>25</v>
      </c>
      <c r="AG13" s="0" t="s">
        <v>25</v>
      </c>
      <c r="AH13" s="0" t="s">
        <v>25</v>
      </c>
      <c r="AI13" s="0" t="s">
        <v>25</v>
      </c>
      <c r="AJ13" s="0" t="s">
        <v>25</v>
      </c>
      <c r="AK13" s="0" t="s">
        <v>25</v>
      </c>
      <c r="AL13" s="0" t="s">
        <v>25</v>
      </c>
      <c r="AM13" s="0" t="s">
        <v>25</v>
      </c>
      <c r="AN13" s="0" t="s">
        <v>555</v>
      </c>
      <c r="AO13" s="0" t="s">
        <v>556</v>
      </c>
      <c r="AP13" s="0" t="s">
        <v>557</v>
      </c>
      <c r="AQ13" s="0" t="s">
        <v>25</v>
      </c>
      <c r="AR13" s="0" t="s">
        <v>25</v>
      </c>
      <c r="AS13" s="0" t="s">
        <v>25</v>
      </c>
      <c r="AT13" s="0" t="s">
        <v>25</v>
      </c>
      <c r="AU13" s="0" t="s">
        <v>25</v>
      </c>
      <c r="AV13" s="0" t="s">
        <v>25</v>
      </c>
      <c r="AW13" s="0" t="s">
        <v>25</v>
      </c>
      <c r="AX13" s="0" t="s">
        <v>25</v>
      </c>
      <c r="AY13" s="0" t="s">
        <v>25</v>
      </c>
      <c r="AZ13" s="0" t="s">
        <v>25</v>
      </c>
      <c r="BA13" s="0" t="s">
        <v>25</v>
      </c>
      <c r="BB13" s="0" t="s">
        <v>25</v>
      </c>
      <c r="BC13" s="0" t="s">
        <v>25</v>
      </c>
      <c r="BD13" s="0" t="s">
        <v>25</v>
      </c>
      <c r="BE13" s="1" t="s">
        <v>558</v>
      </c>
      <c r="BF13" s="0" t="s">
        <v>559</v>
      </c>
      <c r="BG13" s="0" t="s">
        <v>25</v>
      </c>
      <c r="BH13" s="0" t="s">
        <v>25</v>
      </c>
      <c r="BI13" s="0" t="s">
        <v>25</v>
      </c>
      <c r="BJ13" s="0" t="s">
        <v>25</v>
      </c>
      <c r="BK13" s="0" t="s">
        <v>25</v>
      </c>
      <c r="BL13" s="0" t="s">
        <v>25</v>
      </c>
      <c r="BM13" s="0" t="s">
        <v>25</v>
      </c>
      <c r="BN13" s="0" t="s">
        <v>25</v>
      </c>
      <c r="BO13" s="0" t="s">
        <v>25</v>
      </c>
      <c r="BP13" s="0" t="s">
        <v>25</v>
      </c>
      <c r="BQ13" s="0" t="s">
        <v>25</v>
      </c>
      <c r="BR13" s="0" t="s">
        <v>25</v>
      </c>
      <c r="BS13" s="0" t="s">
        <v>25</v>
      </c>
      <c r="BT13" s="0" t="s">
        <v>560</v>
      </c>
      <c r="BU13" s="0" t="s">
        <v>561</v>
      </c>
      <c r="BV13" s="0" t="s">
        <v>562</v>
      </c>
      <c r="BW13" s="0" t="s">
        <v>563</v>
      </c>
      <c r="BX13" s="0" t="s">
        <v>564</v>
      </c>
      <c r="BY13" s="0" t="s">
        <v>565</v>
      </c>
      <c r="BZ13" s="0" t="s">
        <v>566</v>
      </c>
      <c r="CA13" s="0" t="s">
        <v>567</v>
      </c>
      <c r="CB13" s="0" t="s">
        <v>568</v>
      </c>
      <c r="CC13" s="0" t="s">
        <v>569</v>
      </c>
      <c r="CD13" s="0" t="s">
        <v>570</v>
      </c>
      <c r="CE13" s="0" t="s">
        <v>571</v>
      </c>
      <c r="CF13" s="0" t="s">
        <v>572</v>
      </c>
      <c r="CG13" s="0" t="s">
        <v>573</v>
      </c>
      <c r="CH13" s="0" t="s">
        <v>574</v>
      </c>
      <c r="CI13" s="0" t="s">
        <v>575</v>
      </c>
    </row>
    <row r="14" customFormat="false" ht="12.8" hidden="false" customHeight="false" outlineLevel="0" collapsed="false">
      <c r="A14" s="0" t="s">
        <v>576</v>
      </c>
      <c r="B14" s="0" t="s">
        <v>24</v>
      </c>
      <c r="C14" s="0" t="n">
        <v>2020</v>
      </c>
      <c r="D14" s="0" t="s">
        <v>25</v>
      </c>
      <c r="E14" s="0" t="s">
        <v>577</v>
      </c>
      <c r="F14" s="0" t="s">
        <v>578</v>
      </c>
      <c r="G14" s="0" t="s">
        <v>579</v>
      </c>
      <c r="H14" s="0" t="s">
        <v>577</v>
      </c>
      <c r="I14" s="0" t="s">
        <v>580</v>
      </c>
      <c r="J14" s="0" t="s">
        <v>581</v>
      </c>
      <c r="K14" s="0" t="s">
        <v>582</v>
      </c>
      <c r="L14" s="0" t="s">
        <v>583</v>
      </c>
      <c r="M14" s="0" t="s">
        <v>577</v>
      </c>
      <c r="N14" s="0" t="s">
        <v>584</v>
      </c>
      <c r="O14" s="0" t="s">
        <v>577</v>
      </c>
      <c r="P14" s="0" t="s">
        <v>585</v>
      </c>
      <c r="Q14" s="0" t="s">
        <v>577</v>
      </c>
      <c r="R14" s="0" t="s">
        <v>577</v>
      </c>
      <c r="S14" s="0" t="s">
        <v>586</v>
      </c>
      <c r="T14" s="0" t="s">
        <v>587</v>
      </c>
      <c r="U14" s="0" t="s">
        <v>25</v>
      </c>
      <c r="V14" s="0" t="s">
        <v>25</v>
      </c>
      <c r="W14" s="0" t="s">
        <v>588</v>
      </c>
      <c r="X14" s="0" t="s">
        <v>589</v>
      </c>
      <c r="Y14" s="0" t="s">
        <v>590</v>
      </c>
      <c r="Z14" s="0" t="s">
        <v>25</v>
      </c>
      <c r="AA14" s="0" t="s">
        <v>25</v>
      </c>
      <c r="AB14" s="0" t="s">
        <v>25</v>
      </c>
      <c r="AC14" s="0" t="s">
        <v>25</v>
      </c>
      <c r="AD14" s="0" t="s">
        <v>25</v>
      </c>
      <c r="AE14" s="0" t="s">
        <v>25</v>
      </c>
      <c r="AF14" s="0" t="s">
        <v>25</v>
      </c>
      <c r="AG14" s="0" t="s">
        <v>25</v>
      </c>
      <c r="AH14" s="0" t="s">
        <v>25</v>
      </c>
      <c r="AI14" s="0" t="s">
        <v>25</v>
      </c>
      <c r="AJ14" s="0" t="s">
        <v>25</v>
      </c>
      <c r="AK14" s="0" t="s">
        <v>25</v>
      </c>
      <c r="AL14" s="0" t="s">
        <v>25</v>
      </c>
      <c r="AM14" s="0" t="s">
        <v>25</v>
      </c>
      <c r="AN14" s="0" t="s">
        <v>591</v>
      </c>
      <c r="AO14" s="0" t="s">
        <v>592</v>
      </c>
      <c r="AP14" s="0" t="s">
        <v>25</v>
      </c>
      <c r="AQ14" s="0" t="s">
        <v>25</v>
      </c>
      <c r="AR14" s="0" t="s">
        <v>25</v>
      </c>
      <c r="AS14" s="0" t="s">
        <v>25</v>
      </c>
      <c r="AT14" s="0" t="s">
        <v>25</v>
      </c>
      <c r="AU14" s="0" t="s">
        <v>25</v>
      </c>
      <c r="AV14" s="0" t="s">
        <v>25</v>
      </c>
      <c r="AW14" s="0" t="s">
        <v>25</v>
      </c>
      <c r="AX14" s="0" t="s">
        <v>25</v>
      </c>
      <c r="AY14" s="0" t="s">
        <v>25</v>
      </c>
      <c r="AZ14" s="0" t="s">
        <v>25</v>
      </c>
      <c r="BA14" s="0" t="s">
        <v>25</v>
      </c>
      <c r="BB14" s="0" t="s">
        <v>25</v>
      </c>
      <c r="BC14" s="0" t="s">
        <v>25</v>
      </c>
      <c r="BD14" s="0" t="s">
        <v>25</v>
      </c>
      <c r="BE14" s="0" t="s">
        <v>593</v>
      </c>
      <c r="BF14" s="0" t="s">
        <v>25</v>
      </c>
      <c r="BG14" s="0" t="s">
        <v>25</v>
      </c>
      <c r="BH14" s="0" t="s">
        <v>25</v>
      </c>
      <c r="BI14" s="0" t="s">
        <v>25</v>
      </c>
      <c r="BJ14" s="0" t="s">
        <v>25</v>
      </c>
      <c r="BK14" s="0" t="s">
        <v>25</v>
      </c>
      <c r="BL14" s="0" t="s">
        <v>25</v>
      </c>
      <c r="BM14" s="0" t="s">
        <v>25</v>
      </c>
      <c r="BN14" s="0" t="s">
        <v>25</v>
      </c>
      <c r="BO14" s="0" t="s">
        <v>25</v>
      </c>
      <c r="BP14" s="0" t="s">
        <v>25</v>
      </c>
      <c r="BQ14" s="0" t="s">
        <v>25</v>
      </c>
      <c r="BR14" s="0" t="s">
        <v>25</v>
      </c>
      <c r="BS14" s="0" t="s">
        <v>25</v>
      </c>
      <c r="BT14" s="0" t="s">
        <v>594</v>
      </c>
      <c r="BU14" s="0" t="s">
        <v>595</v>
      </c>
      <c r="BV14" s="0" t="s">
        <v>596</v>
      </c>
      <c r="BW14" s="0" t="s">
        <v>597</v>
      </c>
      <c r="BX14" s="0" t="s">
        <v>598</v>
      </c>
      <c r="BY14" s="0" t="s">
        <v>599</v>
      </c>
      <c r="BZ14" s="0" t="s">
        <v>600</v>
      </c>
      <c r="CA14" s="0" t="s">
        <v>601</v>
      </c>
      <c r="CB14" s="0" t="s">
        <v>602</v>
      </c>
      <c r="CC14" s="0" t="s">
        <v>603</v>
      </c>
      <c r="CD14" s="0" t="s">
        <v>604</v>
      </c>
      <c r="CE14" s="0" t="s">
        <v>605</v>
      </c>
      <c r="CF14" s="0" t="s">
        <v>606</v>
      </c>
      <c r="CG14" s="0" t="s">
        <v>607</v>
      </c>
      <c r="CH14" s="0" t="s">
        <v>608</v>
      </c>
      <c r="CI14" s="0" t="s">
        <v>609</v>
      </c>
    </row>
    <row r="15" customFormat="false" ht="12.8" hidden="false" customHeight="false" outlineLevel="0" collapsed="false">
      <c r="A15" s="0" t="s">
        <v>610</v>
      </c>
      <c r="B15" s="0" t="s">
        <v>46</v>
      </c>
      <c r="C15" s="0" t="n">
        <v>2020</v>
      </c>
      <c r="D15" s="0" t="s">
        <v>611</v>
      </c>
      <c r="E15" s="0" t="s">
        <v>612</v>
      </c>
      <c r="F15" s="0" t="s">
        <v>613</v>
      </c>
      <c r="G15" s="0" t="s">
        <v>614</v>
      </c>
      <c r="H15" s="0" t="s">
        <v>615</v>
      </c>
      <c r="I15" s="0" t="s">
        <v>616</v>
      </c>
      <c r="J15" s="0" t="s">
        <v>617</v>
      </c>
      <c r="K15" s="0" t="s">
        <v>618</v>
      </c>
      <c r="L15" s="0" t="s">
        <v>619</v>
      </c>
      <c r="M15" s="0" t="s">
        <v>620</v>
      </c>
      <c r="N15" s="0" t="s">
        <v>621</v>
      </c>
      <c r="O15" s="0" t="s">
        <v>622</v>
      </c>
      <c r="P15" s="0" t="s">
        <v>623</v>
      </c>
      <c r="Q15" s="0" t="s">
        <v>624</v>
      </c>
      <c r="R15" s="0" t="s">
        <v>625</v>
      </c>
      <c r="S15" s="0" t="s">
        <v>626</v>
      </c>
      <c r="T15" s="0" t="s">
        <v>63</v>
      </c>
      <c r="U15" s="0" t="s">
        <v>25</v>
      </c>
      <c r="V15" s="0" t="s">
        <v>25</v>
      </c>
      <c r="W15" s="0" t="s">
        <v>627</v>
      </c>
      <c r="X15" s="0" t="s">
        <v>628</v>
      </c>
      <c r="Y15" s="0" t="s">
        <v>629</v>
      </c>
      <c r="Z15" s="0" t="s">
        <v>25</v>
      </c>
      <c r="AA15" s="0" t="s">
        <v>25</v>
      </c>
      <c r="AB15" s="0" t="s">
        <v>25</v>
      </c>
      <c r="AC15" s="0" t="s">
        <v>25</v>
      </c>
      <c r="AD15" s="0" t="s">
        <v>25</v>
      </c>
      <c r="AE15" s="0" t="s">
        <v>25</v>
      </c>
      <c r="AF15" s="0" t="s">
        <v>25</v>
      </c>
      <c r="AG15" s="0" t="s">
        <v>25</v>
      </c>
      <c r="AH15" s="0" t="s">
        <v>25</v>
      </c>
      <c r="AI15" s="0" t="s">
        <v>25</v>
      </c>
      <c r="AJ15" s="0" t="s">
        <v>25</v>
      </c>
      <c r="AK15" s="0" t="s">
        <v>25</v>
      </c>
      <c r="AL15" s="0" t="s">
        <v>25</v>
      </c>
      <c r="AM15" s="0" t="s">
        <v>25</v>
      </c>
      <c r="AN15" s="0" t="s">
        <v>630</v>
      </c>
      <c r="AO15" s="0" t="s">
        <v>631</v>
      </c>
      <c r="AP15" s="0" t="s">
        <v>25</v>
      </c>
      <c r="AQ15" s="0" t="s">
        <v>25</v>
      </c>
      <c r="AR15" s="0" t="s">
        <v>25</v>
      </c>
      <c r="AS15" s="0" t="s">
        <v>25</v>
      </c>
      <c r="AT15" s="0" t="s">
        <v>25</v>
      </c>
      <c r="AU15" s="0" t="s">
        <v>25</v>
      </c>
      <c r="AV15" s="0" t="s">
        <v>25</v>
      </c>
      <c r="AW15" s="0" t="s">
        <v>25</v>
      </c>
      <c r="AX15" s="0" t="s">
        <v>25</v>
      </c>
      <c r="AY15" s="0" t="s">
        <v>25</v>
      </c>
      <c r="AZ15" s="0" t="s">
        <v>25</v>
      </c>
      <c r="BA15" s="0" t="s">
        <v>25</v>
      </c>
      <c r="BB15" s="0" t="s">
        <v>25</v>
      </c>
      <c r="BC15" s="0" t="s">
        <v>25</v>
      </c>
      <c r="BD15" s="0" t="s">
        <v>25</v>
      </c>
      <c r="BE15" s="0" t="s">
        <v>632</v>
      </c>
      <c r="BF15" s="0" t="s">
        <v>25</v>
      </c>
      <c r="BG15" s="0" t="s">
        <v>25</v>
      </c>
      <c r="BH15" s="0" t="s">
        <v>25</v>
      </c>
      <c r="BI15" s="0" t="s">
        <v>25</v>
      </c>
      <c r="BJ15" s="0" t="s">
        <v>25</v>
      </c>
      <c r="BK15" s="0" t="s">
        <v>25</v>
      </c>
      <c r="BL15" s="0" t="s">
        <v>25</v>
      </c>
      <c r="BM15" s="0" t="s">
        <v>25</v>
      </c>
      <c r="BN15" s="0" t="s">
        <v>25</v>
      </c>
      <c r="BO15" s="0" t="s">
        <v>25</v>
      </c>
      <c r="BP15" s="0" t="s">
        <v>25</v>
      </c>
      <c r="BQ15" s="0" t="s">
        <v>25</v>
      </c>
      <c r="BR15" s="0" t="s">
        <v>25</v>
      </c>
      <c r="BS15" s="0" t="s">
        <v>25</v>
      </c>
      <c r="BT15" s="0" t="s">
        <v>633</v>
      </c>
      <c r="BU15" s="0" t="s">
        <v>634</v>
      </c>
      <c r="BV15" s="0" t="s">
        <v>635</v>
      </c>
      <c r="BW15" s="0" t="s">
        <v>636</v>
      </c>
      <c r="BX15" s="0" t="s">
        <v>637</v>
      </c>
      <c r="BY15" s="0" t="s">
        <v>638</v>
      </c>
      <c r="BZ15" s="0" t="s">
        <v>639</v>
      </c>
      <c r="CA15" s="0" t="s">
        <v>640</v>
      </c>
      <c r="CB15" s="0" t="s">
        <v>641</v>
      </c>
      <c r="CC15" s="0" t="s">
        <v>642</v>
      </c>
      <c r="CD15" s="0" t="s">
        <v>643</v>
      </c>
      <c r="CE15" s="0" t="s">
        <v>644</v>
      </c>
      <c r="CF15" s="0" t="s">
        <v>645</v>
      </c>
      <c r="CG15" s="0" t="s">
        <v>646</v>
      </c>
      <c r="CH15" s="0" t="s">
        <v>647</v>
      </c>
      <c r="CI15" s="0" t="s">
        <v>648</v>
      </c>
    </row>
    <row r="16" customFormat="false" ht="12.8" hidden="false" customHeight="false" outlineLevel="0" collapsed="false">
      <c r="A16" s="0" t="s">
        <v>649</v>
      </c>
      <c r="B16" s="0" t="s">
        <v>24</v>
      </c>
      <c r="C16" s="0" t="n">
        <v>2019</v>
      </c>
      <c r="D16" s="0" t="s">
        <v>25</v>
      </c>
      <c r="E16" s="0" t="s">
        <v>650</v>
      </c>
      <c r="F16" s="0" t="s">
        <v>651</v>
      </c>
      <c r="G16" s="0" t="s">
        <v>652</v>
      </c>
      <c r="H16" s="0" t="s">
        <v>650</v>
      </c>
      <c r="I16" s="0" t="s">
        <v>653</v>
      </c>
      <c r="J16" s="0" t="s">
        <v>654</v>
      </c>
      <c r="K16" s="0" t="s">
        <v>655</v>
      </c>
      <c r="L16" s="0" t="s">
        <v>656</v>
      </c>
      <c r="M16" s="0" t="s">
        <v>650</v>
      </c>
      <c r="N16" s="0" t="s">
        <v>657</v>
      </c>
      <c r="O16" s="0" t="s">
        <v>650</v>
      </c>
      <c r="P16" s="0" t="s">
        <v>658</v>
      </c>
      <c r="Q16" s="0" t="s">
        <v>650</v>
      </c>
      <c r="R16" s="0" t="s">
        <v>650</v>
      </c>
      <c r="S16" s="0" t="s">
        <v>659</v>
      </c>
      <c r="T16" s="0" t="s">
        <v>660</v>
      </c>
      <c r="U16" s="0" t="s">
        <v>25</v>
      </c>
      <c r="V16" s="0" t="s">
        <v>25</v>
      </c>
      <c r="W16" s="0" t="s">
        <v>661</v>
      </c>
      <c r="X16" s="0" t="s">
        <v>662</v>
      </c>
      <c r="Y16" s="0" t="s">
        <v>663</v>
      </c>
      <c r="Z16" s="0" t="s">
        <v>25</v>
      </c>
      <c r="AA16" s="0" t="s">
        <v>25</v>
      </c>
      <c r="AB16" s="0" t="s">
        <v>25</v>
      </c>
      <c r="AC16" s="0" t="s">
        <v>25</v>
      </c>
      <c r="AD16" s="0" t="s">
        <v>25</v>
      </c>
      <c r="AE16" s="0" t="s">
        <v>25</v>
      </c>
      <c r="AF16" s="0" t="s">
        <v>25</v>
      </c>
      <c r="AG16" s="0" t="s">
        <v>25</v>
      </c>
      <c r="AH16" s="0" t="s">
        <v>25</v>
      </c>
      <c r="AI16" s="0" t="s">
        <v>25</v>
      </c>
      <c r="AJ16" s="0" t="s">
        <v>25</v>
      </c>
      <c r="AK16" s="0" t="s">
        <v>25</v>
      </c>
      <c r="AL16" s="0" t="s">
        <v>25</v>
      </c>
      <c r="AM16" s="0" t="s">
        <v>25</v>
      </c>
      <c r="AN16" s="0" t="s">
        <v>664</v>
      </c>
      <c r="AO16" s="0" t="s">
        <v>665</v>
      </c>
      <c r="AP16" s="0" t="s">
        <v>25</v>
      </c>
      <c r="AQ16" s="0" t="s">
        <v>25</v>
      </c>
      <c r="AR16" s="0" t="s">
        <v>25</v>
      </c>
      <c r="AS16" s="0" t="s">
        <v>25</v>
      </c>
      <c r="AT16" s="0" t="s">
        <v>25</v>
      </c>
      <c r="AU16" s="0" t="s">
        <v>25</v>
      </c>
      <c r="AV16" s="0" t="s">
        <v>25</v>
      </c>
      <c r="AW16" s="0" t="s">
        <v>25</v>
      </c>
      <c r="AX16" s="0" t="s">
        <v>25</v>
      </c>
      <c r="AY16" s="0" t="s">
        <v>25</v>
      </c>
      <c r="AZ16" s="0" t="s">
        <v>25</v>
      </c>
      <c r="BA16" s="0" t="s">
        <v>25</v>
      </c>
      <c r="BB16" s="0" t="s">
        <v>25</v>
      </c>
      <c r="BC16" s="0" t="s">
        <v>25</v>
      </c>
      <c r="BD16" s="0" t="s">
        <v>25</v>
      </c>
      <c r="BE16" s="0" t="s">
        <v>666</v>
      </c>
      <c r="BF16" s="0" t="s">
        <v>25</v>
      </c>
      <c r="BG16" s="0" t="s">
        <v>25</v>
      </c>
      <c r="BH16" s="0" t="s">
        <v>25</v>
      </c>
      <c r="BI16" s="0" t="s">
        <v>25</v>
      </c>
      <c r="BJ16" s="0" t="s">
        <v>25</v>
      </c>
      <c r="BK16" s="0" t="s">
        <v>25</v>
      </c>
      <c r="BL16" s="0" t="s">
        <v>25</v>
      </c>
      <c r="BM16" s="0" t="s">
        <v>25</v>
      </c>
      <c r="BN16" s="0" t="s">
        <v>25</v>
      </c>
      <c r="BO16" s="0" t="s">
        <v>25</v>
      </c>
      <c r="BP16" s="0" t="s">
        <v>25</v>
      </c>
      <c r="BQ16" s="0" t="s">
        <v>25</v>
      </c>
      <c r="BR16" s="0" t="s">
        <v>25</v>
      </c>
      <c r="BS16" s="0" t="s">
        <v>25</v>
      </c>
      <c r="BT16" s="0" t="s">
        <v>667</v>
      </c>
      <c r="BU16" s="0" t="s">
        <v>668</v>
      </c>
      <c r="BV16" s="0" t="s">
        <v>669</v>
      </c>
      <c r="BW16" s="0" t="s">
        <v>670</v>
      </c>
      <c r="BX16" s="0" t="s">
        <v>671</v>
      </c>
      <c r="BY16" s="0" t="s">
        <v>672</v>
      </c>
      <c r="BZ16" s="0" t="s">
        <v>673</v>
      </c>
      <c r="CA16" s="0" t="s">
        <v>674</v>
      </c>
      <c r="CB16" s="0" t="s">
        <v>675</v>
      </c>
      <c r="CC16" s="0" t="s">
        <v>676</v>
      </c>
      <c r="CD16" s="0" t="s">
        <v>677</v>
      </c>
      <c r="CE16" s="0" t="s">
        <v>678</v>
      </c>
      <c r="CF16" s="0" t="s">
        <v>679</v>
      </c>
      <c r="CG16" s="0" t="s">
        <v>680</v>
      </c>
      <c r="CH16" s="0" t="s">
        <v>681</v>
      </c>
      <c r="CI16" s="0" t="s">
        <v>682</v>
      </c>
    </row>
    <row r="17" customFormat="false" ht="12.8" hidden="false" customHeight="false" outlineLevel="0" collapsed="false">
      <c r="A17" s="0" t="s">
        <v>683</v>
      </c>
      <c r="B17" s="0" t="s">
        <v>46</v>
      </c>
      <c r="C17" s="0" t="n">
        <v>2019</v>
      </c>
      <c r="D17" s="0" t="s">
        <v>684</v>
      </c>
      <c r="E17" s="0" t="s">
        <v>685</v>
      </c>
      <c r="F17" s="0" t="s">
        <v>686</v>
      </c>
      <c r="G17" s="0" t="s">
        <v>687</v>
      </c>
      <c r="H17" s="0" t="s">
        <v>688</v>
      </c>
      <c r="I17" s="0" t="s">
        <v>689</v>
      </c>
      <c r="J17" s="0" t="s">
        <v>690</v>
      </c>
      <c r="K17" s="0" t="s">
        <v>691</v>
      </c>
      <c r="L17" s="0" t="s">
        <v>692</v>
      </c>
      <c r="M17" s="0" t="s">
        <v>693</v>
      </c>
      <c r="N17" s="0" t="s">
        <v>694</v>
      </c>
      <c r="O17" s="0" t="s">
        <v>695</v>
      </c>
      <c r="P17" s="0" t="s">
        <v>696</v>
      </c>
      <c r="Q17" s="0" t="s">
        <v>697</v>
      </c>
      <c r="R17" s="0" t="s">
        <v>698</v>
      </c>
      <c r="S17" s="0" t="s">
        <v>699</v>
      </c>
      <c r="T17" s="0" t="s">
        <v>700</v>
      </c>
      <c r="U17" s="0" t="s">
        <v>25</v>
      </c>
      <c r="V17" s="0" t="s">
        <v>25</v>
      </c>
      <c r="W17" s="0" t="s">
        <v>701</v>
      </c>
      <c r="X17" s="0" t="s">
        <v>702</v>
      </c>
      <c r="Y17" s="0" t="s">
        <v>703</v>
      </c>
      <c r="Z17" s="0" t="s">
        <v>25</v>
      </c>
      <c r="AA17" s="0" t="s">
        <v>25</v>
      </c>
      <c r="AB17" s="0" t="s">
        <v>25</v>
      </c>
      <c r="AC17" s="0" t="s">
        <v>25</v>
      </c>
      <c r="AD17" s="0" t="s">
        <v>25</v>
      </c>
      <c r="AE17" s="0" t="s">
        <v>25</v>
      </c>
      <c r="AF17" s="0" t="s">
        <v>25</v>
      </c>
      <c r="AG17" s="0" t="s">
        <v>25</v>
      </c>
      <c r="AH17" s="0" t="s">
        <v>25</v>
      </c>
      <c r="AI17" s="0" t="s">
        <v>25</v>
      </c>
      <c r="AJ17" s="0" t="s">
        <v>25</v>
      </c>
      <c r="AK17" s="0" t="s">
        <v>25</v>
      </c>
      <c r="AL17" s="0" t="s">
        <v>25</v>
      </c>
      <c r="AM17" s="0" t="s">
        <v>25</v>
      </c>
      <c r="AN17" s="0" t="s">
        <v>704</v>
      </c>
      <c r="AO17" s="0" t="s">
        <v>705</v>
      </c>
      <c r="AP17" s="0" t="s">
        <v>25</v>
      </c>
      <c r="AQ17" s="0" t="s">
        <v>25</v>
      </c>
      <c r="AR17" s="0" t="s">
        <v>25</v>
      </c>
      <c r="AS17" s="0" t="s">
        <v>25</v>
      </c>
      <c r="AT17" s="0" t="s">
        <v>25</v>
      </c>
      <c r="AU17" s="0" t="s">
        <v>25</v>
      </c>
      <c r="AV17" s="0" t="s">
        <v>25</v>
      </c>
      <c r="AW17" s="0" t="s">
        <v>25</v>
      </c>
      <c r="AX17" s="0" t="s">
        <v>25</v>
      </c>
      <c r="AY17" s="0" t="s">
        <v>25</v>
      </c>
      <c r="AZ17" s="0" t="s">
        <v>25</v>
      </c>
      <c r="BA17" s="0" t="s">
        <v>25</v>
      </c>
      <c r="BB17" s="0" t="s">
        <v>25</v>
      </c>
      <c r="BC17" s="0" t="s">
        <v>25</v>
      </c>
      <c r="BD17" s="0" t="s">
        <v>25</v>
      </c>
      <c r="BE17" s="0" t="s">
        <v>706</v>
      </c>
      <c r="BF17" s="0" t="s">
        <v>25</v>
      </c>
      <c r="BG17" s="0" t="s">
        <v>25</v>
      </c>
      <c r="BH17" s="0" t="s">
        <v>25</v>
      </c>
      <c r="BI17" s="0" t="s">
        <v>25</v>
      </c>
      <c r="BJ17" s="0" t="s">
        <v>25</v>
      </c>
      <c r="BK17" s="0" t="s">
        <v>25</v>
      </c>
      <c r="BL17" s="0" t="s">
        <v>25</v>
      </c>
      <c r="BM17" s="0" t="s">
        <v>25</v>
      </c>
      <c r="BN17" s="0" t="s">
        <v>25</v>
      </c>
      <c r="BO17" s="0" t="s">
        <v>25</v>
      </c>
      <c r="BP17" s="0" t="s">
        <v>25</v>
      </c>
      <c r="BQ17" s="0" t="s">
        <v>25</v>
      </c>
      <c r="BR17" s="0" t="s">
        <v>25</v>
      </c>
      <c r="BS17" s="0" t="s">
        <v>25</v>
      </c>
      <c r="BT17" s="0" t="s">
        <v>707</v>
      </c>
      <c r="BU17" s="0" t="s">
        <v>708</v>
      </c>
      <c r="BV17" s="0" t="s">
        <v>709</v>
      </c>
      <c r="BW17" s="0" t="s">
        <v>710</v>
      </c>
      <c r="BX17" s="0" t="s">
        <v>711</v>
      </c>
      <c r="BY17" s="0" t="s">
        <v>712</v>
      </c>
      <c r="BZ17" s="0" t="s">
        <v>713</v>
      </c>
      <c r="CA17" s="0" t="s">
        <v>714</v>
      </c>
      <c r="CB17" s="0" t="s">
        <v>715</v>
      </c>
      <c r="CC17" s="0" t="s">
        <v>716</v>
      </c>
      <c r="CD17" s="0" t="s">
        <v>717</v>
      </c>
      <c r="CE17" s="0" t="s">
        <v>718</v>
      </c>
      <c r="CF17" s="0" t="s">
        <v>719</v>
      </c>
      <c r="CG17" s="0" t="s">
        <v>720</v>
      </c>
      <c r="CH17" s="0" t="s">
        <v>721</v>
      </c>
      <c r="CI17" s="0" t="s">
        <v>722</v>
      </c>
    </row>
    <row r="18" customFormat="false" ht="12.8" hidden="false" customHeight="false" outlineLevel="0" collapsed="false">
      <c r="A18" s="0" t="s">
        <v>723</v>
      </c>
      <c r="B18" s="0" t="s">
        <v>24</v>
      </c>
      <c r="C18" s="0" t="n">
        <v>2018</v>
      </c>
      <c r="D18" s="0" t="s">
        <v>25</v>
      </c>
      <c r="E18" s="0" t="s">
        <v>724</v>
      </c>
      <c r="F18" s="0" t="s">
        <v>725</v>
      </c>
      <c r="G18" s="0" t="s">
        <v>726</v>
      </c>
      <c r="H18" s="0" t="s">
        <v>724</v>
      </c>
      <c r="I18" s="0" t="s">
        <v>727</v>
      </c>
      <c r="J18" s="0" t="s">
        <v>728</v>
      </c>
      <c r="K18" s="0" t="s">
        <v>729</v>
      </c>
      <c r="L18" s="0" t="s">
        <v>730</v>
      </c>
      <c r="M18" s="0" t="s">
        <v>724</v>
      </c>
      <c r="N18" s="0" t="s">
        <v>731</v>
      </c>
      <c r="O18" s="0" t="s">
        <v>724</v>
      </c>
      <c r="P18" s="0" t="s">
        <v>732</v>
      </c>
      <c r="Q18" s="0" t="s">
        <v>724</v>
      </c>
      <c r="R18" s="0" t="s">
        <v>724</v>
      </c>
      <c r="S18" s="0" t="s">
        <v>733</v>
      </c>
      <c r="T18" s="0" t="s">
        <v>660</v>
      </c>
      <c r="U18" s="0" t="s">
        <v>25</v>
      </c>
      <c r="V18" s="0" t="s">
        <v>25</v>
      </c>
      <c r="W18" s="0" t="s">
        <v>734</v>
      </c>
      <c r="X18" s="0" t="s">
        <v>735</v>
      </c>
      <c r="Y18" s="0" t="s">
        <v>736</v>
      </c>
      <c r="Z18" s="0" t="s">
        <v>25</v>
      </c>
      <c r="AA18" s="0" t="s">
        <v>25</v>
      </c>
      <c r="AB18" s="0" t="s">
        <v>25</v>
      </c>
      <c r="AC18" s="0" t="s">
        <v>25</v>
      </c>
      <c r="AD18" s="0" t="s">
        <v>25</v>
      </c>
      <c r="AE18" s="0" t="s">
        <v>25</v>
      </c>
      <c r="AF18" s="0" t="s">
        <v>25</v>
      </c>
      <c r="AG18" s="0" t="s">
        <v>25</v>
      </c>
      <c r="AH18" s="0" t="s">
        <v>25</v>
      </c>
      <c r="AI18" s="0" t="s">
        <v>25</v>
      </c>
      <c r="AJ18" s="0" t="s">
        <v>25</v>
      </c>
      <c r="AK18" s="0" t="s">
        <v>25</v>
      </c>
      <c r="AL18" s="0" t="s">
        <v>25</v>
      </c>
      <c r="AM18" s="0" t="s">
        <v>25</v>
      </c>
      <c r="AN18" s="0" t="s">
        <v>737</v>
      </c>
      <c r="AO18" s="0" t="s">
        <v>738</v>
      </c>
      <c r="AP18" s="0" t="s">
        <v>25</v>
      </c>
      <c r="AQ18" s="0" t="s">
        <v>25</v>
      </c>
      <c r="AR18" s="0" t="s">
        <v>25</v>
      </c>
      <c r="AS18" s="0" t="s">
        <v>25</v>
      </c>
      <c r="AT18" s="0" t="s">
        <v>25</v>
      </c>
      <c r="AU18" s="0" t="s">
        <v>25</v>
      </c>
      <c r="AV18" s="0" t="s">
        <v>25</v>
      </c>
      <c r="AW18" s="0" t="s">
        <v>25</v>
      </c>
      <c r="AX18" s="0" t="s">
        <v>25</v>
      </c>
      <c r="AY18" s="0" t="s">
        <v>25</v>
      </c>
      <c r="AZ18" s="0" t="s">
        <v>25</v>
      </c>
      <c r="BA18" s="0" t="s">
        <v>25</v>
      </c>
      <c r="BB18" s="0" t="s">
        <v>25</v>
      </c>
      <c r="BC18" s="0" t="s">
        <v>25</v>
      </c>
      <c r="BD18" s="0" t="s">
        <v>25</v>
      </c>
      <c r="BE18" s="0" t="s">
        <v>739</v>
      </c>
      <c r="BF18" s="0" t="s">
        <v>25</v>
      </c>
      <c r="BG18" s="0" t="s">
        <v>25</v>
      </c>
      <c r="BH18" s="0" t="s">
        <v>25</v>
      </c>
      <c r="BI18" s="0" t="s">
        <v>25</v>
      </c>
      <c r="BJ18" s="0" t="s">
        <v>25</v>
      </c>
      <c r="BK18" s="0" t="s">
        <v>25</v>
      </c>
      <c r="BL18" s="0" t="s">
        <v>25</v>
      </c>
      <c r="BM18" s="0" t="s">
        <v>25</v>
      </c>
      <c r="BN18" s="0" t="s">
        <v>25</v>
      </c>
      <c r="BO18" s="0" t="s">
        <v>25</v>
      </c>
      <c r="BP18" s="0" t="s">
        <v>25</v>
      </c>
      <c r="BQ18" s="0" t="s">
        <v>25</v>
      </c>
      <c r="BR18" s="0" t="s">
        <v>25</v>
      </c>
      <c r="BS18" s="0" t="s">
        <v>25</v>
      </c>
      <c r="BT18" s="0" t="s">
        <v>740</v>
      </c>
      <c r="BU18" s="0" t="s">
        <v>741</v>
      </c>
      <c r="BV18" s="0" t="s">
        <v>742</v>
      </c>
      <c r="BW18" s="0" t="s">
        <v>743</v>
      </c>
      <c r="BX18" s="0" t="s">
        <v>744</v>
      </c>
      <c r="BY18" s="0" t="s">
        <v>745</v>
      </c>
      <c r="BZ18" s="0" t="s">
        <v>746</v>
      </c>
      <c r="CA18" s="0" t="s">
        <v>747</v>
      </c>
      <c r="CB18" s="0" t="s">
        <v>748</v>
      </c>
      <c r="CC18" s="0" t="s">
        <v>749</v>
      </c>
      <c r="CD18" s="0" t="s">
        <v>750</v>
      </c>
      <c r="CE18" s="0" t="s">
        <v>751</v>
      </c>
      <c r="CF18" s="0" t="s">
        <v>752</v>
      </c>
      <c r="CG18" s="0" t="s">
        <v>753</v>
      </c>
      <c r="CH18" s="0" t="s">
        <v>754</v>
      </c>
      <c r="CI18" s="0" t="s">
        <v>755</v>
      </c>
    </row>
    <row r="19" customFormat="false" ht="12.8" hidden="false" customHeight="false" outlineLevel="0" collapsed="false">
      <c r="A19" s="0" t="s">
        <v>756</v>
      </c>
      <c r="B19" s="0" t="s">
        <v>46</v>
      </c>
      <c r="C19" s="0" t="n">
        <v>2018</v>
      </c>
      <c r="D19" s="0" t="s">
        <v>757</v>
      </c>
      <c r="E19" s="0" t="s">
        <v>758</v>
      </c>
      <c r="F19" s="0" t="s">
        <v>759</v>
      </c>
      <c r="G19" s="0" t="s">
        <v>760</v>
      </c>
      <c r="H19" s="0" t="s">
        <v>761</v>
      </c>
      <c r="I19" s="0" t="s">
        <v>762</v>
      </c>
      <c r="J19" s="0" t="s">
        <v>763</v>
      </c>
      <c r="K19" s="0" t="s">
        <v>764</v>
      </c>
      <c r="L19" s="0" t="s">
        <v>765</v>
      </c>
      <c r="M19" s="0" t="s">
        <v>766</v>
      </c>
      <c r="N19" s="0" t="s">
        <v>767</v>
      </c>
      <c r="O19" s="0" t="s">
        <v>768</v>
      </c>
      <c r="P19" s="0" t="s">
        <v>769</v>
      </c>
      <c r="Q19" s="0" t="s">
        <v>770</v>
      </c>
      <c r="R19" s="0" t="s">
        <v>771</v>
      </c>
      <c r="S19" s="0" t="s">
        <v>772</v>
      </c>
      <c r="T19" s="0" t="s">
        <v>36</v>
      </c>
      <c r="U19" s="0" t="s">
        <v>25</v>
      </c>
      <c r="V19" s="0" t="s">
        <v>25</v>
      </c>
      <c r="W19" s="0" t="s">
        <v>773</v>
      </c>
      <c r="X19" s="0" t="s">
        <v>774</v>
      </c>
      <c r="Y19" s="0" t="s">
        <v>775</v>
      </c>
      <c r="Z19" s="0" t="s">
        <v>25</v>
      </c>
      <c r="AA19" s="0" t="s">
        <v>776</v>
      </c>
      <c r="AB19" s="0" t="s">
        <v>25</v>
      </c>
      <c r="AC19" s="0" t="s">
        <v>25</v>
      </c>
      <c r="AD19" s="0" t="s">
        <v>25</v>
      </c>
      <c r="AE19" s="0" t="s">
        <v>25</v>
      </c>
      <c r="AF19" s="0" t="s">
        <v>25</v>
      </c>
      <c r="AG19" s="0" t="s">
        <v>25</v>
      </c>
      <c r="AH19" s="0" t="s">
        <v>25</v>
      </c>
      <c r="AI19" s="0" t="s">
        <v>25</v>
      </c>
      <c r="AJ19" s="0" t="s">
        <v>25</v>
      </c>
      <c r="AK19" s="0" t="s">
        <v>25</v>
      </c>
      <c r="AL19" s="0" t="s">
        <v>25</v>
      </c>
      <c r="AM19" s="0" t="s">
        <v>25</v>
      </c>
      <c r="AN19" s="0" t="s">
        <v>777</v>
      </c>
      <c r="AO19" s="0" t="s">
        <v>778</v>
      </c>
      <c r="AP19" s="0" t="s">
        <v>25</v>
      </c>
      <c r="AQ19" s="0" t="s">
        <v>779</v>
      </c>
      <c r="AR19" s="0" t="s">
        <v>25</v>
      </c>
      <c r="AS19" s="0" t="s">
        <v>25</v>
      </c>
      <c r="AT19" s="0" t="s">
        <v>25</v>
      </c>
      <c r="AU19" s="0" t="s">
        <v>25</v>
      </c>
      <c r="AV19" s="0" t="s">
        <v>25</v>
      </c>
      <c r="AW19" s="0" t="s">
        <v>25</v>
      </c>
      <c r="AX19" s="0" t="s">
        <v>25</v>
      </c>
      <c r="AY19" s="0" t="s">
        <v>25</v>
      </c>
      <c r="AZ19" s="0" t="s">
        <v>25</v>
      </c>
      <c r="BA19" s="0" t="s">
        <v>25</v>
      </c>
      <c r="BB19" s="0" t="s">
        <v>25</v>
      </c>
      <c r="BC19" s="0" t="s">
        <v>25</v>
      </c>
      <c r="BD19" s="0" t="s">
        <v>25</v>
      </c>
      <c r="BE19" s="0" t="s">
        <v>780</v>
      </c>
      <c r="BF19" s="0" t="s">
        <v>25</v>
      </c>
      <c r="BG19" s="0" t="s">
        <v>781</v>
      </c>
      <c r="BH19" s="0" t="s">
        <v>25</v>
      </c>
      <c r="BI19" s="0" t="s">
        <v>25</v>
      </c>
      <c r="BJ19" s="0" t="s">
        <v>25</v>
      </c>
      <c r="BK19" s="0" t="s">
        <v>25</v>
      </c>
      <c r="BL19" s="0" t="s">
        <v>25</v>
      </c>
      <c r="BM19" s="0" t="s">
        <v>25</v>
      </c>
      <c r="BN19" s="0" t="s">
        <v>25</v>
      </c>
      <c r="BO19" s="0" t="s">
        <v>25</v>
      </c>
      <c r="BP19" s="0" t="s">
        <v>25</v>
      </c>
      <c r="BQ19" s="0" t="s">
        <v>25</v>
      </c>
      <c r="BR19" s="0" t="s">
        <v>25</v>
      </c>
      <c r="BS19" s="0" t="s">
        <v>25</v>
      </c>
      <c r="BT19" s="0" t="s">
        <v>782</v>
      </c>
      <c r="BU19" s="0" t="s">
        <v>783</v>
      </c>
      <c r="BV19" s="0" t="s">
        <v>784</v>
      </c>
      <c r="BW19" s="0" t="s">
        <v>785</v>
      </c>
      <c r="BX19" s="0" t="s">
        <v>786</v>
      </c>
      <c r="BY19" s="0" t="s">
        <v>787</v>
      </c>
      <c r="BZ19" s="0" t="s">
        <v>788</v>
      </c>
      <c r="CA19" s="0" t="s">
        <v>789</v>
      </c>
      <c r="CB19" s="0" t="s">
        <v>790</v>
      </c>
      <c r="CC19" s="0" t="s">
        <v>791</v>
      </c>
      <c r="CD19" s="0" t="s">
        <v>792</v>
      </c>
      <c r="CE19" s="0" t="s">
        <v>793</v>
      </c>
      <c r="CF19" s="0" t="s">
        <v>794</v>
      </c>
      <c r="CG19" s="0" t="s">
        <v>795</v>
      </c>
      <c r="CH19" s="0" t="s">
        <v>796</v>
      </c>
      <c r="CI19" s="0" t="s">
        <v>797</v>
      </c>
    </row>
    <row r="20" customFormat="false" ht="12.8" hidden="false" customHeight="false" outlineLevel="0" collapsed="false">
      <c r="A20" s="0" t="s">
        <v>798</v>
      </c>
      <c r="B20" s="0" t="s">
        <v>24</v>
      </c>
      <c r="C20" s="0" t="n">
        <v>2017</v>
      </c>
      <c r="D20" s="0" t="s">
        <v>25</v>
      </c>
      <c r="E20" s="0" t="s">
        <v>799</v>
      </c>
      <c r="F20" s="0" t="s">
        <v>800</v>
      </c>
      <c r="G20" s="0" t="s">
        <v>801</v>
      </c>
      <c r="H20" s="0" t="s">
        <v>799</v>
      </c>
      <c r="I20" s="0" t="s">
        <v>802</v>
      </c>
      <c r="J20" s="0" t="s">
        <v>803</v>
      </c>
      <c r="K20" s="0" t="s">
        <v>804</v>
      </c>
      <c r="L20" s="0" t="s">
        <v>805</v>
      </c>
      <c r="M20" s="0" t="s">
        <v>799</v>
      </c>
      <c r="N20" s="0" t="s">
        <v>806</v>
      </c>
      <c r="O20" s="0" t="s">
        <v>799</v>
      </c>
      <c r="P20" s="0" t="s">
        <v>807</v>
      </c>
      <c r="Q20" s="0" t="s">
        <v>799</v>
      </c>
      <c r="R20" s="0" t="s">
        <v>799</v>
      </c>
      <c r="S20" s="0" t="s">
        <v>808</v>
      </c>
      <c r="T20" s="0" t="s">
        <v>809</v>
      </c>
      <c r="U20" s="0" t="s">
        <v>25</v>
      </c>
      <c r="V20" s="0" t="s">
        <v>25</v>
      </c>
      <c r="W20" s="0" t="s">
        <v>810</v>
      </c>
      <c r="X20" s="0" t="s">
        <v>811</v>
      </c>
      <c r="Y20" s="0" t="s">
        <v>812</v>
      </c>
      <c r="Z20" s="0" t="s">
        <v>25</v>
      </c>
      <c r="AA20" s="0" t="s">
        <v>25</v>
      </c>
      <c r="AB20" s="0" t="s">
        <v>25</v>
      </c>
      <c r="AC20" s="0" t="s">
        <v>25</v>
      </c>
      <c r="AD20" s="0" t="s">
        <v>25</v>
      </c>
      <c r="AE20" s="0" t="s">
        <v>25</v>
      </c>
      <c r="AF20" s="0" t="s">
        <v>25</v>
      </c>
      <c r="AG20" s="0" t="s">
        <v>25</v>
      </c>
      <c r="AH20" s="0" t="s">
        <v>25</v>
      </c>
      <c r="AI20" s="0" t="s">
        <v>25</v>
      </c>
      <c r="AJ20" s="0" t="s">
        <v>25</v>
      </c>
      <c r="AK20" s="0" t="s">
        <v>25</v>
      </c>
      <c r="AL20" s="0" t="s">
        <v>25</v>
      </c>
      <c r="AM20" s="0" t="s">
        <v>25</v>
      </c>
      <c r="AN20" s="0" t="s">
        <v>813</v>
      </c>
      <c r="AO20" s="0" t="s">
        <v>814</v>
      </c>
      <c r="AP20" s="0" t="s">
        <v>25</v>
      </c>
      <c r="AQ20" s="0" t="s">
        <v>25</v>
      </c>
      <c r="AR20" s="0" t="s">
        <v>25</v>
      </c>
      <c r="AS20" s="0" t="s">
        <v>25</v>
      </c>
      <c r="AT20" s="0" t="s">
        <v>25</v>
      </c>
      <c r="AU20" s="0" t="s">
        <v>25</v>
      </c>
      <c r="AV20" s="0" t="s">
        <v>25</v>
      </c>
      <c r="AW20" s="0" t="s">
        <v>25</v>
      </c>
      <c r="AX20" s="0" t="s">
        <v>25</v>
      </c>
      <c r="AY20" s="0" t="s">
        <v>25</v>
      </c>
      <c r="AZ20" s="0" t="s">
        <v>25</v>
      </c>
      <c r="BA20" s="0" t="s">
        <v>25</v>
      </c>
      <c r="BB20" s="0" t="s">
        <v>25</v>
      </c>
      <c r="BC20" s="0" t="s">
        <v>25</v>
      </c>
      <c r="BD20" s="0" t="s">
        <v>25</v>
      </c>
      <c r="BE20" s="1" t="s">
        <v>815</v>
      </c>
      <c r="BF20" s="0" t="s">
        <v>25</v>
      </c>
      <c r="BG20" s="0" t="s">
        <v>25</v>
      </c>
      <c r="BH20" s="0" t="s">
        <v>25</v>
      </c>
      <c r="BI20" s="0" t="s">
        <v>25</v>
      </c>
      <c r="BJ20" s="0" t="s">
        <v>25</v>
      </c>
      <c r="BK20" s="0" t="s">
        <v>25</v>
      </c>
      <c r="BL20" s="0" t="s">
        <v>25</v>
      </c>
      <c r="BM20" s="0" t="s">
        <v>25</v>
      </c>
      <c r="BN20" s="0" t="s">
        <v>25</v>
      </c>
      <c r="BO20" s="0" t="s">
        <v>25</v>
      </c>
      <c r="BP20" s="0" t="s">
        <v>25</v>
      </c>
      <c r="BQ20" s="0" t="s">
        <v>25</v>
      </c>
      <c r="BR20" s="0" t="s">
        <v>25</v>
      </c>
      <c r="BS20" s="0" t="s">
        <v>25</v>
      </c>
      <c r="BT20" s="0" t="s">
        <v>816</v>
      </c>
      <c r="BU20" s="0" t="s">
        <v>817</v>
      </c>
      <c r="BV20" s="0" t="s">
        <v>818</v>
      </c>
      <c r="BW20" s="0" t="s">
        <v>819</v>
      </c>
      <c r="BX20" s="0" t="s">
        <v>820</v>
      </c>
      <c r="BY20" s="0" t="s">
        <v>821</v>
      </c>
      <c r="BZ20" s="0" t="s">
        <v>822</v>
      </c>
      <c r="CA20" s="0" t="s">
        <v>823</v>
      </c>
      <c r="CB20" s="0" t="s">
        <v>824</v>
      </c>
      <c r="CC20" s="0" t="s">
        <v>825</v>
      </c>
      <c r="CD20" s="0" t="s">
        <v>826</v>
      </c>
      <c r="CE20" s="0" t="s">
        <v>827</v>
      </c>
      <c r="CF20" s="0" t="s">
        <v>828</v>
      </c>
      <c r="CG20" s="0" t="s">
        <v>829</v>
      </c>
      <c r="CH20" s="0" t="s">
        <v>830</v>
      </c>
      <c r="CI20" s="0" t="s">
        <v>831</v>
      </c>
    </row>
    <row r="21" customFormat="false" ht="12.8" hidden="false" customHeight="false" outlineLevel="0" collapsed="false">
      <c r="A21" s="0" t="s">
        <v>832</v>
      </c>
      <c r="B21" s="0" t="s">
        <v>46</v>
      </c>
      <c r="C21" s="0" t="n">
        <v>2017</v>
      </c>
      <c r="D21" s="0" t="s">
        <v>833</v>
      </c>
      <c r="E21" s="0" t="s">
        <v>834</v>
      </c>
      <c r="F21" s="0" t="s">
        <v>835</v>
      </c>
      <c r="G21" s="0" t="s">
        <v>836</v>
      </c>
      <c r="H21" s="0" t="s">
        <v>837</v>
      </c>
      <c r="I21" s="0" t="s">
        <v>838</v>
      </c>
      <c r="J21" s="0" t="s">
        <v>839</v>
      </c>
      <c r="K21" s="0" t="s">
        <v>840</v>
      </c>
      <c r="L21" s="0" t="s">
        <v>841</v>
      </c>
      <c r="M21" s="0" t="s">
        <v>842</v>
      </c>
      <c r="N21" s="0" t="s">
        <v>843</v>
      </c>
      <c r="O21" s="0" t="s">
        <v>844</v>
      </c>
      <c r="P21" s="0" t="s">
        <v>845</v>
      </c>
      <c r="Q21" s="0" t="s">
        <v>846</v>
      </c>
      <c r="R21" s="0" t="s">
        <v>847</v>
      </c>
      <c r="S21" s="0" t="s">
        <v>848</v>
      </c>
      <c r="T21" s="0" t="s">
        <v>849</v>
      </c>
      <c r="U21" s="0" t="s">
        <v>25</v>
      </c>
      <c r="V21" s="0" t="s">
        <v>25</v>
      </c>
      <c r="W21" s="0" t="s">
        <v>850</v>
      </c>
      <c r="X21" s="0" t="s">
        <v>851</v>
      </c>
      <c r="Y21" s="0" t="s">
        <v>852</v>
      </c>
      <c r="Z21" s="0" t="s">
        <v>25</v>
      </c>
      <c r="AA21" s="0" t="s">
        <v>25</v>
      </c>
      <c r="AB21" s="0" t="s">
        <v>25</v>
      </c>
      <c r="AC21" s="0" t="s">
        <v>25</v>
      </c>
      <c r="AD21" s="0" t="s">
        <v>25</v>
      </c>
      <c r="AE21" s="0" t="s">
        <v>25</v>
      </c>
      <c r="AF21" s="0" t="s">
        <v>25</v>
      </c>
      <c r="AG21" s="0" t="s">
        <v>25</v>
      </c>
      <c r="AH21" s="0" t="s">
        <v>25</v>
      </c>
      <c r="AI21" s="0" t="s">
        <v>25</v>
      </c>
      <c r="AJ21" s="0" t="s">
        <v>25</v>
      </c>
      <c r="AK21" s="0" t="s">
        <v>25</v>
      </c>
      <c r="AL21" s="0" t="s">
        <v>25</v>
      </c>
      <c r="AM21" s="0" t="s">
        <v>25</v>
      </c>
      <c r="AN21" s="0" t="s">
        <v>853</v>
      </c>
      <c r="AO21" s="0" t="s">
        <v>854</v>
      </c>
      <c r="AP21" s="0" t="s">
        <v>25</v>
      </c>
      <c r="AQ21" s="0" t="s">
        <v>25</v>
      </c>
      <c r="AR21" s="0" t="s">
        <v>25</v>
      </c>
      <c r="AS21" s="0" t="s">
        <v>25</v>
      </c>
      <c r="AT21" s="0" t="s">
        <v>25</v>
      </c>
      <c r="AU21" s="0" t="s">
        <v>25</v>
      </c>
      <c r="AV21" s="0" t="s">
        <v>25</v>
      </c>
      <c r="AW21" s="0" t="s">
        <v>25</v>
      </c>
      <c r="AX21" s="0" t="s">
        <v>25</v>
      </c>
      <c r="AY21" s="0" t="s">
        <v>25</v>
      </c>
      <c r="AZ21" s="0" t="s">
        <v>25</v>
      </c>
      <c r="BA21" s="0" t="s">
        <v>25</v>
      </c>
      <c r="BB21" s="0" t="s">
        <v>25</v>
      </c>
      <c r="BC21" s="0" t="s">
        <v>25</v>
      </c>
      <c r="BD21" s="0" t="s">
        <v>25</v>
      </c>
      <c r="BE21" s="0" t="s">
        <v>25</v>
      </c>
      <c r="BF21" s="0" t="s">
        <v>25</v>
      </c>
      <c r="BG21" s="0" t="s">
        <v>25</v>
      </c>
      <c r="BH21" s="0" t="s">
        <v>25</v>
      </c>
      <c r="BI21" s="0" t="s">
        <v>25</v>
      </c>
      <c r="BJ21" s="0" t="s">
        <v>25</v>
      </c>
      <c r="BK21" s="0" t="s">
        <v>25</v>
      </c>
      <c r="BL21" s="0" t="s">
        <v>25</v>
      </c>
      <c r="BM21" s="0" t="s">
        <v>25</v>
      </c>
      <c r="BN21" s="0" t="s">
        <v>25</v>
      </c>
      <c r="BO21" s="0" t="s">
        <v>25</v>
      </c>
      <c r="BP21" s="0" t="s">
        <v>25</v>
      </c>
      <c r="BQ21" s="0" t="s">
        <v>25</v>
      </c>
      <c r="BR21" s="0" t="s">
        <v>25</v>
      </c>
      <c r="BS21" s="0" t="s">
        <v>25</v>
      </c>
      <c r="BT21" s="0" t="s">
        <v>855</v>
      </c>
      <c r="BU21" s="0" t="s">
        <v>856</v>
      </c>
      <c r="BV21" s="0" t="s">
        <v>857</v>
      </c>
      <c r="BW21" s="0" t="s">
        <v>858</v>
      </c>
      <c r="BX21" s="0" t="s">
        <v>859</v>
      </c>
      <c r="BY21" s="0" t="s">
        <v>860</v>
      </c>
      <c r="BZ21" s="0" t="s">
        <v>861</v>
      </c>
      <c r="CA21" s="0" t="s">
        <v>862</v>
      </c>
      <c r="CB21" s="0" t="s">
        <v>863</v>
      </c>
      <c r="CC21" s="0" t="s">
        <v>864</v>
      </c>
      <c r="CD21" s="0" t="s">
        <v>865</v>
      </c>
      <c r="CE21" s="0" t="s">
        <v>866</v>
      </c>
      <c r="CF21" s="0" t="s">
        <v>867</v>
      </c>
      <c r="CG21" s="0" t="s">
        <v>868</v>
      </c>
      <c r="CH21" s="0" t="s">
        <v>869</v>
      </c>
      <c r="CI21" s="0" t="s">
        <v>870</v>
      </c>
    </row>
    <row r="22" customFormat="false" ht="12.8" hidden="false" customHeight="false" outlineLevel="0" collapsed="false">
      <c r="A22" s="0" t="s">
        <v>871</v>
      </c>
      <c r="B22" s="0" t="s">
        <v>24</v>
      </c>
      <c r="C22" s="0" t="n">
        <v>2016</v>
      </c>
      <c r="D22" s="0" t="s">
        <v>25</v>
      </c>
      <c r="E22" s="0" t="s">
        <v>872</v>
      </c>
      <c r="F22" s="0" t="s">
        <v>873</v>
      </c>
      <c r="G22" s="0" t="s">
        <v>874</v>
      </c>
      <c r="H22" s="0" t="s">
        <v>872</v>
      </c>
      <c r="I22" s="0" t="s">
        <v>875</v>
      </c>
      <c r="J22" s="0" t="s">
        <v>876</v>
      </c>
      <c r="K22" s="0" t="s">
        <v>877</v>
      </c>
      <c r="L22" s="0" t="s">
        <v>878</v>
      </c>
      <c r="M22" s="0" t="s">
        <v>872</v>
      </c>
      <c r="N22" s="0" t="s">
        <v>879</v>
      </c>
      <c r="O22" s="0" t="s">
        <v>872</v>
      </c>
      <c r="P22" s="0" t="s">
        <v>880</v>
      </c>
      <c r="Q22" s="0" t="s">
        <v>872</v>
      </c>
      <c r="R22" s="0" t="s">
        <v>872</v>
      </c>
      <c r="S22" s="0" t="s">
        <v>881</v>
      </c>
      <c r="T22" s="0" t="s">
        <v>882</v>
      </c>
      <c r="U22" s="0" t="s">
        <v>25</v>
      </c>
      <c r="V22" s="0" t="s">
        <v>25</v>
      </c>
      <c r="W22" s="0" t="s">
        <v>883</v>
      </c>
      <c r="X22" s="0" t="s">
        <v>884</v>
      </c>
      <c r="Y22" s="0" t="s">
        <v>885</v>
      </c>
      <c r="Z22" s="0" t="s">
        <v>25</v>
      </c>
      <c r="AA22" s="0" t="s">
        <v>25</v>
      </c>
      <c r="AB22" s="0" t="s">
        <v>25</v>
      </c>
      <c r="AC22" s="0" t="s">
        <v>25</v>
      </c>
      <c r="AD22" s="0" t="s">
        <v>25</v>
      </c>
      <c r="AE22" s="0" t="s">
        <v>25</v>
      </c>
      <c r="AF22" s="0" t="s">
        <v>25</v>
      </c>
      <c r="AG22" s="0" t="s">
        <v>25</v>
      </c>
      <c r="AH22" s="0" t="s">
        <v>25</v>
      </c>
      <c r="AI22" s="0" t="s">
        <v>25</v>
      </c>
      <c r="AJ22" s="0" t="s">
        <v>25</v>
      </c>
      <c r="AK22" s="0" t="s">
        <v>25</v>
      </c>
      <c r="AL22" s="0" t="s">
        <v>25</v>
      </c>
      <c r="AM22" s="0" t="s">
        <v>25</v>
      </c>
      <c r="AN22" s="0" t="s">
        <v>813</v>
      </c>
      <c r="AO22" s="0" t="s">
        <v>25</v>
      </c>
      <c r="AP22" s="0" t="s">
        <v>25</v>
      </c>
      <c r="AQ22" s="0" t="s">
        <v>25</v>
      </c>
      <c r="AR22" s="0" t="s">
        <v>25</v>
      </c>
      <c r="AS22" s="0" t="s">
        <v>25</v>
      </c>
      <c r="AT22" s="0" t="s">
        <v>25</v>
      </c>
      <c r="AU22" s="0" t="s">
        <v>25</v>
      </c>
      <c r="AV22" s="0" t="s">
        <v>25</v>
      </c>
      <c r="AW22" s="0" t="s">
        <v>25</v>
      </c>
      <c r="AX22" s="0" t="s">
        <v>25</v>
      </c>
      <c r="AY22" s="0" t="s">
        <v>25</v>
      </c>
      <c r="AZ22" s="0" t="s">
        <v>25</v>
      </c>
      <c r="BA22" s="0" t="s">
        <v>25</v>
      </c>
      <c r="BB22" s="0" t="s">
        <v>25</v>
      </c>
      <c r="BC22" s="0" t="s">
        <v>25</v>
      </c>
      <c r="BD22" s="0" t="s">
        <v>25</v>
      </c>
      <c r="BE22" s="0" t="s">
        <v>25</v>
      </c>
      <c r="BF22" s="0" t="s">
        <v>25</v>
      </c>
      <c r="BG22" s="0" t="s">
        <v>25</v>
      </c>
      <c r="BH22" s="0" t="s">
        <v>25</v>
      </c>
      <c r="BI22" s="0" t="s">
        <v>25</v>
      </c>
      <c r="BJ22" s="0" t="s">
        <v>25</v>
      </c>
      <c r="BK22" s="0" t="s">
        <v>25</v>
      </c>
      <c r="BL22" s="0" t="s">
        <v>25</v>
      </c>
      <c r="BM22" s="0" t="s">
        <v>25</v>
      </c>
      <c r="BN22" s="0" t="s">
        <v>25</v>
      </c>
      <c r="BO22" s="0" t="s">
        <v>25</v>
      </c>
      <c r="BP22" s="0" t="s">
        <v>25</v>
      </c>
      <c r="BQ22" s="0" t="s">
        <v>25</v>
      </c>
      <c r="BR22" s="0" t="s">
        <v>25</v>
      </c>
      <c r="BS22" s="0" t="s">
        <v>25</v>
      </c>
      <c r="BT22" s="0" t="s">
        <v>886</v>
      </c>
      <c r="BU22" s="0" t="s">
        <v>887</v>
      </c>
      <c r="BV22" s="0" t="s">
        <v>888</v>
      </c>
      <c r="BW22" s="0" t="s">
        <v>889</v>
      </c>
      <c r="BX22" s="0" t="s">
        <v>890</v>
      </c>
      <c r="BY22" s="0" t="s">
        <v>891</v>
      </c>
      <c r="BZ22" s="0" t="s">
        <v>892</v>
      </c>
      <c r="CA22" s="0" t="s">
        <v>893</v>
      </c>
      <c r="CB22" s="0" t="s">
        <v>894</v>
      </c>
      <c r="CC22" s="0" t="s">
        <v>895</v>
      </c>
      <c r="CD22" s="0" t="s">
        <v>896</v>
      </c>
      <c r="CE22" s="0" t="s">
        <v>897</v>
      </c>
      <c r="CF22" s="0" t="s">
        <v>898</v>
      </c>
      <c r="CG22" s="0" t="s">
        <v>899</v>
      </c>
      <c r="CH22" s="0" t="s">
        <v>900</v>
      </c>
      <c r="CI22" s="0" t="s">
        <v>901</v>
      </c>
    </row>
    <row r="23" customFormat="false" ht="12.8" hidden="false" customHeight="false" outlineLevel="0" collapsed="false">
      <c r="A23" s="0" t="s">
        <v>902</v>
      </c>
      <c r="B23" s="0" t="s">
        <v>46</v>
      </c>
      <c r="C23" s="0" t="n">
        <v>2016</v>
      </c>
      <c r="D23" s="0" t="s">
        <v>903</v>
      </c>
      <c r="E23" s="0" t="s">
        <v>904</v>
      </c>
      <c r="F23" s="0" t="s">
        <v>905</v>
      </c>
      <c r="G23" s="0" t="s">
        <v>906</v>
      </c>
      <c r="H23" s="0" t="s">
        <v>907</v>
      </c>
      <c r="I23" s="0" t="s">
        <v>908</v>
      </c>
      <c r="J23" s="0" t="s">
        <v>909</v>
      </c>
      <c r="K23" s="0" t="s">
        <v>910</v>
      </c>
      <c r="L23" s="0" t="s">
        <v>911</v>
      </c>
      <c r="M23" s="0" t="s">
        <v>912</v>
      </c>
      <c r="N23" s="0" t="s">
        <v>913</v>
      </c>
      <c r="O23" s="0" t="s">
        <v>914</v>
      </c>
      <c r="P23" s="0" t="s">
        <v>915</v>
      </c>
      <c r="Q23" s="0" t="s">
        <v>916</v>
      </c>
      <c r="R23" s="0" t="s">
        <v>917</v>
      </c>
      <c r="S23" s="0" t="s">
        <v>918</v>
      </c>
      <c r="T23" s="0" t="s">
        <v>919</v>
      </c>
      <c r="U23" s="0" t="s">
        <v>25</v>
      </c>
      <c r="V23" s="0" t="s">
        <v>25</v>
      </c>
      <c r="W23" s="0" t="s">
        <v>920</v>
      </c>
      <c r="X23" s="0" t="s">
        <v>921</v>
      </c>
      <c r="Y23" s="0" t="s">
        <v>922</v>
      </c>
      <c r="Z23" s="0" t="s">
        <v>25</v>
      </c>
      <c r="AA23" s="0" t="s">
        <v>25</v>
      </c>
      <c r="AB23" s="0" t="s">
        <v>25</v>
      </c>
      <c r="AC23" s="0" t="s">
        <v>25</v>
      </c>
      <c r="AD23" s="0" t="s">
        <v>25</v>
      </c>
      <c r="AE23" s="0" t="s">
        <v>25</v>
      </c>
      <c r="AF23" s="0" t="s">
        <v>25</v>
      </c>
      <c r="AG23" s="0" t="s">
        <v>25</v>
      </c>
      <c r="AH23" s="0" t="s">
        <v>25</v>
      </c>
      <c r="AI23" s="0" t="s">
        <v>25</v>
      </c>
      <c r="AJ23" s="0" t="s">
        <v>25</v>
      </c>
      <c r="AK23" s="0" t="s">
        <v>25</v>
      </c>
      <c r="AL23" s="0" t="s">
        <v>25</v>
      </c>
      <c r="AM23" s="0" t="s">
        <v>25</v>
      </c>
      <c r="AN23" s="0" t="s">
        <v>923</v>
      </c>
      <c r="AO23" s="0" t="s">
        <v>924</v>
      </c>
      <c r="AP23" s="0" t="s">
        <v>25</v>
      </c>
      <c r="AQ23" s="0" t="s">
        <v>25</v>
      </c>
      <c r="AR23" s="0" t="s">
        <v>25</v>
      </c>
      <c r="AS23" s="0" t="s">
        <v>25</v>
      </c>
      <c r="AT23" s="0" t="s">
        <v>25</v>
      </c>
      <c r="AU23" s="0" t="s">
        <v>25</v>
      </c>
      <c r="AV23" s="0" t="s">
        <v>25</v>
      </c>
      <c r="AW23" s="0" t="s">
        <v>25</v>
      </c>
      <c r="AX23" s="0" t="s">
        <v>25</v>
      </c>
      <c r="AY23" s="0" t="s">
        <v>25</v>
      </c>
      <c r="AZ23" s="0" t="s">
        <v>25</v>
      </c>
      <c r="BA23" s="0" t="s">
        <v>25</v>
      </c>
      <c r="BB23" s="0" t="s">
        <v>25</v>
      </c>
      <c r="BC23" s="0" t="s">
        <v>25</v>
      </c>
      <c r="BD23" s="0" t="s">
        <v>25</v>
      </c>
      <c r="BE23" s="0" t="s">
        <v>925</v>
      </c>
      <c r="BF23" s="0" t="s">
        <v>25</v>
      </c>
      <c r="BG23" s="0" t="s">
        <v>25</v>
      </c>
      <c r="BH23" s="0" t="s">
        <v>25</v>
      </c>
      <c r="BI23" s="0" t="s">
        <v>25</v>
      </c>
      <c r="BJ23" s="0" t="s">
        <v>25</v>
      </c>
      <c r="BK23" s="0" t="s">
        <v>25</v>
      </c>
      <c r="BL23" s="0" t="s">
        <v>25</v>
      </c>
      <c r="BM23" s="0" t="s">
        <v>25</v>
      </c>
      <c r="BN23" s="0" t="s">
        <v>25</v>
      </c>
      <c r="BO23" s="0" t="s">
        <v>25</v>
      </c>
      <c r="BP23" s="0" t="s">
        <v>25</v>
      </c>
      <c r="BQ23" s="0" t="s">
        <v>25</v>
      </c>
      <c r="BR23" s="0" t="s">
        <v>25</v>
      </c>
      <c r="BS23" s="0" t="s">
        <v>25</v>
      </c>
      <c r="BT23" s="0" t="s">
        <v>926</v>
      </c>
      <c r="BU23" s="0" t="s">
        <v>927</v>
      </c>
      <c r="BV23" s="0" t="s">
        <v>928</v>
      </c>
      <c r="BW23" s="0" t="s">
        <v>929</v>
      </c>
      <c r="BX23" s="0" t="s">
        <v>930</v>
      </c>
      <c r="BY23" s="0" t="s">
        <v>931</v>
      </c>
      <c r="BZ23" s="0" t="s">
        <v>932</v>
      </c>
      <c r="CA23" s="0" t="s">
        <v>933</v>
      </c>
      <c r="CB23" s="0" t="s">
        <v>934</v>
      </c>
      <c r="CC23" s="0" t="s">
        <v>935</v>
      </c>
      <c r="CD23" s="0" t="s">
        <v>936</v>
      </c>
      <c r="CE23" s="0" t="s">
        <v>937</v>
      </c>
      <c r="CF23" s="0" t="s">
        <v>938</v>
      </c>
      <c r="CG23" s="0" t="s">
        <v>939</v>
      </c>
      <c r="CH23" s="0" t="s">
        <v>940</v>
      </c>
      <c r="CI23" s="0" t="s">
        <v>941</v>
      </c>
    </row>
    <row r="24" customFormat="false" ht="12.8" hidden="false" customHeight="false" outlineLevel="0" collapsed="false">
      <c r="A24" s="0" t="s">
        <v>942</v>
      </c>
      <c r="B24" s="0" t="s">
        <v>24</v>
      </c>
      <c r="C24" s="0" t="n">
        <v>2015</v>
      </c>
      <c r="D24" s="0" t="s">
        <v>25</v>
      </c>
      <c r="E24" s="0" t="s">
        <v>943</v>
      </c>
      <c r="F24" s="0" t="s">
        <v>944</v>
      </c>
      <c r="G24" s="0" t="s">
        <v>945</v>
      </c>
      <c r="H24" s="0" t="s">
        <v>943</v>
      </c>
      <c r="I24" s="0" t="s">
        <v>946</v>
      </c>
      <c r="J24" s="0" t="s">
        <v>947</v>
      </c>
      <c r="K24" s="0" t="s">
        <v>948</v>
      </c>
      <c r="L24" s="0" t="s">
        <v>949</v>
      </c>
      <c r="M24" s="0" t="s">
        <v>943</v>
      </c>
      <c r="N24" s="0" t="s">
        <v>950</v>
      </c>
      <c r="O24" s="0" t="s">
        <v>943</v>
      </c>
      <c r="P24" s="0" t="s">
        <v>951</v>
      </c>
      <c r="Q24" s="0" t="s">
        <v>943</v>
      </c>
      <c r="R24" s="0" t="s">
        <v>943</v>
      </c>
      <c r="S24" s="0" t="s">
        <v>952</v>
      </c>
      <c r="T24" s="0" t="s">
        <v>953</v>
      </c>
      <c r="U24" s="0" t="s">
        <v>25</v>
      </c>
      <c r="V24" s="0" t="s">
        <v>25</v>
      </c>
      <c r="W24" s="0" t="s">
        <v>954</v>
      </c>
      <c r="X24" s="0" t="s">
        <v>955</v>
      </c>
      <c r="Y24" s="0" t="s">
        <v>956</v>
      </c>
      <c r="Z24" s="0" t="s">
        <v>25</v>
      </c>
      <c r="AA24" s="0" t="s">
        <v>25</v>
      </c>
      <c r="AB24" s="0" t="s">
        <v>25</v>
      </c>
      <c r="AC24" s="0" t="s">
        <v>25</v>
      </c>
      <c r="AD24" s="0" t="s">
        <v>25</v>
      </c>
      <c r="AE24" s="0" t="s">
        <v>25</v>
      </c>
      <c r="AF24" s="0" t="s">
        <v>25</v>
      </c>
      <c r="AG24" s="0" t="s">
        <v>25</v>
      </c>
      <c r="AH24" s="0" t="s">
        <v>25</v>
      </c>
      <c r="AI24" s="0" t="s">
        <v>25</v>
      </c>
      <c r="AJ24" s="0" t="s">
        <v>25</v>
      </c>
      <c r="AK24" s="0" t="s">
        <v>25</v>
      </c>
      <c r="AL24" s="0" t="s">
        <v>25</v>
      </c>
      <c r="AM24" s="0" t="s">
        <v>25</v>
      </c>
      <c r="AN24" s="0" t="s">
        <v>957</v>
      </c>
      <c r="AO24" s="0" t="s">
        <v>958</v>
      </c>
      <c r="AP24" s="0" t="s">
        <v>25</v>
      </c>
      <c r="AQ24" s="0" t="s">
        <v>25</v>
      </c>
      <c r="AR24" s="0" t="s">
        <v>25</v>
      </c>
      <c r="AS24" s="0" t="s">
        <v>25</v>
      </c>
      <c r="AT24" s="0" t="s">
        <v>25</v>
      </c>
      <c r="AU24" s="0" t="s">
        <v>25</v>
      </c>
      <c r="AV24" s="0" t="s">
        <v>25</v>
      </c>
      <c r="AW24" s="0" t="s">
        <v>25</v>
      </c>
      <c r="AX24" s="0" t="s">
        <v>25</v>
      </c>
      <c r="AY24" s="0" t="s">
        <v>25</v>
      </c>
      <c r="AZ24" s="0" t="s">
        <v>25</v>
      </c>
      <c r="BA24" s="0" t="s">
        <v>25</v>
      </c>
      <c r="BB24" s="0" t="s">
        <v>25</v>
      </c>
      <c r="BC24" s="0" t="s">
        <v>25</v>
      </c>
      <c r="BD24" s="0" t="s">
        <v>25</v>
      </c>
      <c r="BE24" s="0" t="s">
        <v>959</v>
      </c>
      <c r="BF24" s="0" t="s">
        <v>25</v>
      </c>
      <c r="BG24" s="0" t="s">
        <v>25</v>
      </c>
      <c r="BH24" s="0" t="s">
        <v>25</v>
      </c>
      <c r="BI24" s="0" t="s">
        <v>25</v>
      </c>
      <c r="BJ24" s="0" t="s">
        <v>25</v>
      </c>
      <c r="BK24" s="0" t="s">
        <v>25</v>
      </c>
      <c r="BL24" s="0" t="s">
        <v>25</v>
      </c>
      <c r="BM24" s="0" t="s">
        <v>25</v>
      </c>
      <c r="BN24" s="0" t="s">
        <v>25</v>
      </c>
      <c r="BO24" s="0" t="s">
        <v>25</v>
      </c>
      <c r="BP24" s="0" t="s">
        <v>25</v>
      </c>
      <c r="BQ24" s="0" t="s">
        <v>25</v>
      </c>
      <c r="BR24" s="0" t="s">
        <v>25</v>
      </c>
      <c r="BS24" s="0" t="s">
        <v>25</v>
      </c>
      <c r="BT24" s="0" t="s">
        <v>960</v>
      </c>
      <c r="BU24" s="0" t="s">
        <v>961</v>
      </c>
      <c r="BV24" s="0" t="s">
        <v>962</v>
      </c>
      <c r="BW24" s="0" t="s">
        <v>963</v>
      </c>
      <c r="BX24" s="0" t="s">
        <v>964</v>
      </c>
      <c r="BY24" s="0" t="s">
        <v>965</v>
      </c>
      <c r="BZ24" s="0" t="s">
        <v>966</v>
      </c>
      <c r="CA24" s="0" t="s">
        <v>967</v>
      </c>
      <c r="CB24" s="0" t="s">
        <v>968</v>
      </c>
      <c r="CC24" s="0" t="s">
        <v>969</v>
      </c>
      <c r="CD24" s="0" t="s">
        <v>970</v>
      </c>
      <c r="CE24" s="0" t="s">
        <v>971</v>
      </c>
      <c r="CF24" s="0" t="s">
        <v>972</v>
      </c>
      <c r="CG24" s="0" t="s">
        <v>973</v>
      </c>
      <c r="CH24" s="0" t="s">
        <v>974</v>
      </c>
      <c r="CI24" s="0" t="s">
        <v>975</v>
      </c>
    </row>
    <row r="25" customFormat="false" ht="12.8" hidden="false" customHeight="false" outlineLevel="0" collapsed="false">
      <c r="A25" s="0" t="s">
        <v>976</v>
      </c>
      <c r="B25" s="0" t="s">
        <v>46</v>
      </c>
      <c r="C25" s="0" t="n">
        <v>2015</v>
      </c>
      <c r="D25" s="0" t="s">
        <v>977</v>
      </c>
      <c r="E25" s="0" t="s">
        <v>978</v>
      </c>
      <c r="F25" s="0" t="s">
        <v>979</v>
      </c>
      <c r="G25" s="0" t="s">
        <v>980</v>
      </c>
      <c r="H25" s="0" t="s">
        <v>981</v>
      </c>
      <c r="I25" s="0" t="s">
        <v>982</v>
      </c>
      <c r="J25" s="0" t="s">
        <v>983</v>
      </c>
      <c r="K25" s="0" t="s">
        <v>984</v>
      </c>
      <c r="L25" s="0" t="s">
        <v>985</v>
      </c>
      <c r="M25" s="0" t="s">
        <v>986</v>
      </c>
      <c r="N25" s="0" t="s">
        <v>987</v>
      </c>
      <c r="O25" s="0" t="s">
        <v>988</v>
      </c>
      <c r="P25" s="0" t="s">
        <v>989</v>
      </c>
      <c r="Q25" s="0" t="s">
        <v>990</v>
      </c>
      <c r="R25" s="0" t="s">
        <v>991</v>
      </c>
      <c r="S25" s="0" t="s">
        <v>992</v>
      </c>
      <c r="T25" s="0" t="s">
        <v>550</v>
      </c>
      <c r="U25" s="0" t="s">
        <v>25</v>
      </c>
      <c r="V25" s="0" t="s">
        <v>25</v>
      </c>
      <c r="W25" s="0" t="s">
        <v>993</v>
      </c>
      <c r="X25" s="0" t="s">
        <v>994</v>
      </c>
      <c r="Y25" s="0" t="s">
        <v>995</v>
      </c>
      <c r="Z25" s="0" t="s">
        <v>25</v>
      </c>
      <c r="AA25" s="0" t="s">
        <v>25</v>
      </c>
      <c r="AB25" s="0" t="s">
        <v>25</v>
      </c>
      <c r="AC25" s="0" t="s">
        <v>25</v>
      </c>
      <c r="AD25" s="0" t="s">
        <v>25</v>
      </c>
      <c r="AE25" s="0" t="s">
        <v>25</v>
      </c>
      <c r="AF25" s="0" t="s">
        <v>25</v>
      </c>
      <c r="AG25" s="0" t="s">
        <v>25</v>
      </c>
      <c r="AH25" s="0" t="s">
        <v>25</v>
      </c>
      <c r="AI25" s="0" t="s">
        <v>25</v>
      </c>
      <c r="AJ25" s="0" t="s">
        <v>25</v>
      </c>
      <c r="AK25" s="0" t="s">
        <v>25</v>
      </c>
      <c r="AL25" s="0" t="s">
        <v>25</v>
      </c>
      <c r="AM25" s="0" t="s">
        <v>25</v>
      </c>
      <c r="AN25" s="0" t="s">
        <v>996</v>
      </c>
      <c r="AO25" s="0" t="s">
        <v>997</v>
      </c>
      <c r="AP25" s="0" t="s">
        <v>25</v>
      </c>
      <c r="AQ25" s="0" t="s">
        <v>25</v>
      </c>
      <c r="AR25" s="0" t="s">
        <v>25</v>
      </c>
      <c r="AS25" s="0" t="s">
        <v>25</v>
      </c>
      <c r="AT25" s="0" t="s">
        <v>25</v>
      </c>
      <c r="AU25" s="0" t="s">
        <v>25</v>
      </c>
      <c r="AV25" s="0" t="s">
        <v>25</v>
      </c>
      <c r="AW25" s="0" t="s">
        <v>25</v>
      </c>
      <c r="AX25" s="0" t="s">
        <v>25</v>
      </c>
      <c r="AY25" s="0" t="s">
        <v>25</v>
      </c>
      <c r="AZ25" s="0" t="s">
        <v>25</v>
      </c>
      <c r="BA25" s="0" t="s">
        <v>25</v>
      </c>
      <c r="BB25" s="0" t="s">
        <v>25</v>
      </c>
      <c r="BC25" s="0" t="s">
        <v>25</v>
      </c>
      <c r="BD25" s="0" t="s">
        <v>25</v>
      </c>
      <c r="BE25" s="1" t="s">
        <v>998</v>
      </c>
      <c r="BF25" s="0" t="s">
        <v>25</v>
      </c>
      <c r="BG25" s="0" t="s">
        <v>25</v>
      </c>
      <c r="BH25" s="0" t="s">
        <v>25</v>
      </c>
      <c r="BI25" s="0" t="s">
        <v>25</v>
      </c>
      <c r="BJ25" s="0" t="s">
        <v>25</v>
      </c>
      <c r="BK25" s="0" t="s">
        <v>25</v>
      </c>
      <c r="BL25" s="0" t="s">
        <v>25</v>
      </c>
      <c r="BM25" s="0" t="s">
        <v>25</v>
      </c>
      <c r="BN25" s="0" t="s">
        <v>25</v>
      </c>
      <c r="BO25" s="0" t="s">
        <v>25</v>
      </c>
      <c r="BP25" s="0" t="s">
        <v>25</v>
      </c>
      <c r="BQ25" s="0" t="s">
        <v>25</v>
      </c>
      <c r="BR25" s="0" t="s">
        <v>25</v>
      </c>
      <c r="BS25" s="0" t="s">
        <v>25</v>
      </c>
      <c r="BT25" s="0" t="s">
        <v>999</v>
      </c>
      <c r="BU25" s="0" t="s">
        <v>1000</v>
      </c>
      <c r="BV25" s="0" t="s">
        <v>1001</v>
      </c>
      <c r="BW25" s="0" t="s">
        <v>1002</v>
      </c>
      <c r="BX25" s="0" t="s">
        <v>1003</v>
      </c>
      <c r="BY25" s="0" t="s">
        <v>1004</v>
      </c>
      <c r="BZ25" s="0" t="s">
        <v>1005</v>
      </c>
      <c r="CA25" s="0" t="s">
        <v>1006</v>
      </c>
      <c r="CB25" s="0" t="s">
        <v>1007</v>
      </c>
      <c r="CC25" s="0" t="s">
        <v>1008</v>
      </c>
      <c r="CD25" s="0" t="s">
        <v>1009</v>
      </c>
      <c r="CE25" s="0" t="s">
        <v>1010</v>
      </c>
      <c r="CF25" s="0" t="s">
        <v>1011</v>
      </c>
      <c r="CG25" s="0" t="s">
        <v>1012</v>
      </c>
      <c r="CH25" s="0" t="s">
        <v>1013</v>
      </c>
      <c r="CI25" s="0" t="s">
        <v>1014</v>
      </c>
    </row>
    <row r="26" customFormat="false" ht="12.8" hidden="false" customHeight="false" outlineLevel="0" collapsed="false">
      <c r="A26" s="0" t="s">
        <v>1015</v>
      </c>
      <c r="B26" s="0" t="s">
        <v>24</v>
      </c>
      <c r="C26" s="0" t="n">
        <v>2014</v>
      </c>
      <c r="D26" s="0" t="s">
        <v>25</v>
      </c>
      <c r="E26" s="0" t="s">
        <v>1016</v>
      </c>
      <c r="F26" s="0" t="s">
        <v>1017</v>
      </c>
      <c r="G26" s="0" t="s">
        <v>1018</v>
      </c>
      <c r="H26" s="0" t="s">
        <v>1016</v>
      </c>
      <c r="I26" s="0" t="s">
        <v>1019</v>
      </c>
      <c r="J26" s="0" t="s">
        <v>1020</v>
      </c>
      <c r="K26" s="0" t="s">
        <v>1021</v>
      </c>
      <c r="L26" s="0" t="s">
        <v>1022</v>
      </c>
      <c r="M26" s="0" t="s">
        <v>1016</v>
      </c>
      <c r="N26" s="0" t="s">
        <v>1023</v>
      </c>
      <c r="O26" s="0" t="s">
        <v>1016</v>
      </c>
      <c r="P26" s="0" t="s">
        <v>1024</v>
      </c>
      <c r="Q26" s="0" t="s">
        <v>1016</v>
      </c>
      <c r="R26" s="0" t="s">
        <v>1016</v>
      </c>
      <c r="S26" s="0" t="s">
        <v>1025</v>
      </c>
      <c r="T26" s="0" t="s">
        <v>307</v>
      </c>
      <c r="U26" s="0" t="s">
        <v>25</v>
      </c>
      <c r="V26" s="0" t="s">
        <v>25</v>
      </c>
      <c r="W26" s="0" t="s">
        <v>1026</v>
      </c>
      <c r="X26" s="0" t="s">
        <v>1027</v>
      </c>
      <c r="Y26" s="0" t="s">
        <v>1028</v>
      </c>
      <c r="Z26" s="0" t="s">
        <v>25</v>
      </c>
      <c r="AA26" s="0" t="s">
        <v>25</v>
      </c>
      <c r="AB26" s="0" t="s">
        <v>25</v>
      </c>
      <c r="AC26" s="0" t="s">
        <v>25</v>
      </c>
      <c r="AD26" s="0" t="s">
        <v>25</v>
      </c>
      <c r="AE26" s="0" t="s">
        <v>25</v>
      </c>
      <c r="AF26" s="0" t="s">
        <v>25</v>
      </c>
      <c r="AG26" s="0" t="s">
        <v>25</v>
      </c>
      <c r="AH26" s="0" t="s">
        <v>25</v>
      </c>
      <c r="AI26" s="0" t="s">
        <v>25</v>
      </c>
      <c r="AJ26" s="0" t="s">
        <v>25</v>
      </c>
      <c r="AK26" s="0" t="s">
        <v>25</v>
      </c>
      <c r="AL26" s="0" t="s">
        <v>25</v>
      </c>
      <c r="AM26" s="0" t="s">
        <v>25</v>
      </c>
      <c r="AN26" s="0" t="s">
        <v>1029</v>
      </c>
      <c r="AO26" s="0" t="s">
        <v>1030</v>
      </c>
      <c r="AP26" s="0" t="s">
        <v>25</v>
      </c>
      <c r="AQ26" s="0" t="s">
        <v>25</v>
      </c>
      <c r="AR26" s="0" t="s">
        <v>25</v>
      </c>
      <c r="AS26" s="0" t="s">
        <v>25</v>
      </c>
      <c r="AT26" s="0" t="s">
        <v>25</v>
      </c>
      <c r="AU26" s="0" t="s">
        <v>25</v>
      </c>
      <c r="AV26" s="0" t="s">
        <v>25</v>
      </c>
      <c r="AW26" s="0" t="s">
        <v>25</v>
      </c>
      <c r="AX26" s="0" t="s">
        <v>25</v>
      </c>
      <c r="AY26" s="0" t="s">
        <v>25</v>
      </c>
      <c r="AZ26" s="0" t="s">
        <v>25</v>
      </c>
      <c r="BA26" s="0" t="s">
        <v>25</v>
      </c>
      <c r="BB26" s="0" t="s">
        <v>25</v>
      </c>
      <c r="BC26" s="0" t="s">
        <v>25</v>
      </c>
      <c r="BD26" s="0" t="s">
        <v>25</v>
      </c>
      <c r="BE26" s="0" t="s">
        <v>1031</v>
      </c>
      <c r="BF26" s="0" t="s">
        <v>25</v>
      </c>
      <c r="BG26" s="0" t="s">
        <v>25</v>
      </c>
      <c r="BH26" s="0" t="s">
        <v>25</v>
      </c>
      <c r="BI26" s="0" t="s">
        <v>25</v>
      </c>
      <c r="BJ26" s="0" t="s">
        <v>25</v>
      </c>
      <c r="BK26" s="0" t="s">
        <v>25</v>
      </c>
      <c r="BL26" s="0" t="s">
        <v>25</v>
      </c>
      <c r="BM26" s="0" t="s">
        <v>25</v>
      </c>
      <c r="BN26" s="0" t="s">
        <v>25</v>
      </c>
      <c r="BO26" s="0" t="s">
        <v>25</v>
      </c>
      <c r="BP26" s="0" t="s">
        <v>25</v>
      </c>
      <c r="BQ26" s="0" t="s">
        <v>25</v>
      </c>
      <c r="BR26" s="0" t="s">
        <v>25</v>
      </c>
      <c r="BS26" s="0" t="s">
        <v>25</v>
      </c>
      <c r="BT26" s="0" t="s">
        <v>1032</v>
      </c>
      <c r="BU26" s="0" t="s">
        <v>1033</v>
      </c>
      <c r="BV26" s="0" t="s">
        <v>1034</v>
      </c>
      <c r="BW26" s="0" t="s">
        <v>1035</v>
      </c>
      <c r="BX26" s="0" t="s">
        <v>1036</v>
      </c>
      <c r="BY26" s="0" t="s">
        <v>1037</v>
      </c>
      <c r="BZ26" s="0" t="s">
        <v>1038</v>
      </c>
      <c r="CA26" s="0" t="s">
        <v>1039</v>
      </c>
      <c r="CB26" s="0" t="s">
        <v>1040</v>
      </c>
      <c r="CC26" s="0" t="s">
        <v>1041</v>
      </c>
      <c r="CD26" s="0" t="s">
        <v>1042</v>
      </c>
      <c r="CE26" s="0" t="s">
        <v>1043</v>
      </c>
      <c r="CF26" s="0" t="s">
        <v>1044</v>
      </c>
      <c r="CG26" s="0" t="s">
        <v>1045</v>
      </c>
      <c r="CH26" s="0" t="s">
        <v>1046</v>
      </c>
      <c r="CI26" s="0" t="s">
        <v>1047</v>
      </c>
    </row>
    <row r="27" customFormat="false" ht="12.8" hidden="false" customHeight="false" outlineLevel="0" collapsed="false">
      <c r="A27" s="0" t="s">
        <v>1048</v>
      </c>
      <c r="B27" s="0" t="s">
        <v>46</v>
      </c>
      <c r="C27" s="0" t="n">
        <v>2014</v>
      </c>
      <c r="D27" s="0" t="s">
        <v>1049</v>
      </c>
      <c r="E27" s="0" t="s">
        <v>1050</v>
      </c>
      <c r="F27" s="0" t="s">
        <v>1051</v>
      </c>
      <c r="G27" s="0" t="s">
        <v>1052</v>
      </c>
      <c r="H27" s="0" t="s">
        <v>1053</v>
      </c>
      <c r="I27" s="0" t="s">
        <v>1054</v>
      </c>
      <c r="J27" s="0" t="s">
        <v>1055</v>
      </c>
      <c r="K27" s="0" t="s">
        <v>1056</v>
      </c>
      <c r="L27" s="0" t="s">
        <v>1057</v>
      </c>
      <c r="M27" s="0" t="s">
        <v>1058</v>
      </c>
      <c r="N27" s="0" t="s">
        <v>1059</v>
      </c>
      <c r="O27" s="0" t="s">
        <v>1060</v>
      </c>
      <c r="P27" s="0" t="s">
        <v>1061</v>
      </c>
      <c r="Q27" s="0" t="s">
        <v>1062</v>
      </c>
      <c r="R27" s="0" t="s">
        <v>1063</v>
      </c>
      <c r="S27" s="0" t="s">
        <v>1064</v>
      </c>
      <c r="T27" s="0" t="s">
        <v>700</v>
      </c>
      <c r="U27" s="0" t="s">
        <v>25</v>
      </c>
      <c r="V27" s="0" t="s">
        <v>25</v>
      </c>
      <c r="W27" s="0" t="s">
        <v>1065</v>
      </c>
      <c r="X27" s="0" t="s">
        <v>1066</v>
      </c>
      <c r="Y27" s="0" t="s">
        <v>1067</v>
      </c>
      <c r="Z27" s="0" t="s">
        <v>25</v>
      </c>
      <c r="AA27" s="0" t="s">
        <v>25</v>
      </c>
      <c r="AB27" s="0" t="s">
        <v>25</v>
      </c>
      <c r="AC27" s="0" t="s">
        <v>25</v>
      </c>
      <c r="AD27" s="0" t="s">
        <v>25</v>
      </c>
      <c r="AE27" s="0" t="s">
        <v>25</v>
      </c>
      <c r="AF27" s="0" t="s">
        <v>25</v>
      </c>
      <c r="AG27" s="0" t="s">
        <v>25</v>
      </c>
      <c r="AH27" s="0" t="s">
        <v>25</v>
      </c>
      <c r="AI27" s="0" t="s">
        <v>25</v>
      </c>
      <c r="AJ27" s="0" t="s">
        <v>25</v>
      </c>
      <c r="AK27" s="0" t="s">
        <v>25</v>
      </c>
      <c r="AL27" s="0" t="s">
        <v>25</v>
      </c>
      <c r="AM27" s="0" t="s">
        <v>25</v>
      </c>
      <c r="AN27" s="0" t="s">
        <v>1068</v>
      </c>
      <c r="AO27" s="0" t="s">
        <v>705</v>
      </c>
      <c r="AP27" s="0" t="s">
        <v>25</v>
      </c>
      <c r="AQ27" s="0" t="s">
        <v>25</v>
      </c>
      <c r="AR27" s="0" t="s">
        <v>25</v>
      </c>
      <c r="AS27" s="0" t="s">
        <v>25</v>
      </c>
      <c r="AT27" s="0" t="s">
        <v>25</v>
      </c>
      <c r="AU27" s="0" t="s">
        <v>25</v>
      </c>
      <c r="AV27" s="0" t="s">
        <v>25</v>
      </c>
      <c r="AW27" s="0" t="s">
        <v>25</v>
      </c>
      <c r="AX27" s="0" t="s">
        <v>25</v>
      </c>
      <c r="AY27" s="0" t="s">
        <v>25</v>
      </c>
      <c r="AZ27" s="0" t="s">
        <v>25</v>
      </c>
      <c r="BA27" s="0" t="s">
        <v>25</v>
      </c>
      <c r="BB27" s="0" t="s">
        <v>25</v>
      </c>
      <c r="BC27" s="0" t="s">
        <v>25</v>
      </c>
      <c r="BD27" s="0" t="s">
        <v>25</v>
      </c>
      <c r="BE27" s="0" t="s">
        <v>1069</v>
      </c>
      <c r="BF27" s="0" t="s">
        <v>25</v>
      </c>
      <c r="BG27" s="0" t="s">
        <v>25</v>
      </c>
      <c r="BH27" s="0" t="s">
        <v>25</v>
      </c>
      <c r="BI27" s="0" t="s">
        <v>25</v>
      </c>
      <c r="BJ27" s="0" t="s">
        <v>25</v>
      </c>
      <c r="BK27" s="0" t="s">
        <v>25</v>
      </c>
      <c r="BL27" s="0" t="s">
        <v>25</v>
      </c>
      <c r="BM27" s="0" t="s">
        <v>25</v>
      </c>
      <c r="BN27" s="0" t="s">
        <v>25</v>
      </c>
      <c r="BO27" s="0" t="s">
        <v>25</v>
      </c>
      <c r="BP27" s="0" t="s">
        <v>25</v>
      </c>
      <c r="BQ27" s="0" t="s">
        <v>25</v>
      </c>
      <c r="BR27" s="0" t="s">
        <v>25</v>
      </c>
      <c r="BS27" s="0" t="s">
        <v>25</v>
      </c>
      <c r="BT27" s="0" t="s">
        <v>1070</v>
      </c>
      <c r="BU27" s="0" t="s">
        <v>1071</v>
      </c>
      <c r="BV27" s="0" t="s">
        <v>1072</v>
      </c>
      <c r="BW27" s="0" t="s">
        <v>1073</v>
      </c>
      <c r="BX27" s="0" t="s">
        <v>1074</v>
      </c>
      <c r="BY27" s="0" t="s">
        <v>1075</v>
      </c>
      <c r="BZ27" s="0" t="s">
        <v>1076</v>
      </c>
      <c r="CA27" s="0" t="s">
        <v>1077</v>
      </c>
      <c r="CB27" s="0" t="s">
        <v>1078</v>
      </c>
      <c r="CC27" s="0" t="s">
        <v>1079</v>
      </c>
      <c r="CD27" s="0" t="s">
        <v>1080</v>
      </c>
      <c r="CE27" s="0" t="s">
        <v>1081</v>
      </c>
      <c r="CF27" s="0" t="s">
        <v>1082</v>
      </c>
      <c r="CG27" s="0" t="s">
        <v>1083</v>
      </c>
      <c r="CH27" s="0" t="s">
        <v>1084</v>
      </c>
      <c r="CI27" s="0" t="s">
        <v>1085</v>
      </c>
    </row>
    <row r="28" customFormat="false" ht="12.8" hidden="false" customHeight="false" outlineLevel="0" collapsed="false">
      <c r="A28" s="0" t="s">
        <v>1086</v>
      </c>
      <c r="B28" s="0" t="s">
        <v>24</v>
      </c>
      <c r="C28" s="0" t="n">
        <v>2013</v>
      </c>
      <c r="D28" s="0" t="s">
        <v>25</v>
      </c>
      <c r="E28" s="0" t="s">
        <v>1087</v>
      </c>
      <c r="F28" s="0" t="s">
        <v>1088</v>
      </c>
      <c r="G28" s="0" t="s">
        <v>1089</v>
      </c>
      <c r="H28" s="0" t="s">
        <v>1087</v>
      </c>
      <c r="I28" s="0" t="s">
        <v>1090</v>
      </c>
      <c r="J28" s="0" t="s">
        <v>1091</v>
      </c>
      <c r="K28" s="0" t="s">
        <v>1092</v>
      </c>
      <c r="L28" s="0" t="s">
        <v>1093</v>
      </c>
      <c r="M28" s="0" t="s">
        <v>1087</v>
      </c>
      <c r="N28" s="0" t="s">
        <v>1094</v>
      </c>
      <c r="O28" s="0" t="s">
        <v>1087</v>
      </c>
      <c r="P28" s="0" t="s">
        <v>1095</v>
      </c>
      <c r="Q28" s="0" t="s">
        <v>1087</v>
      </c>
      <c r="R28" s="0" t="s">
        <v>1087</v>
      </c>
      <c r="S28" s="0" t="s">
        <v>1096</v>
      </c>
      <c r="T28" s="0" t="s">
        <v>700</v>
      </c>
      <c r="U28" s="0" t="s">
        <v>1097</v>
      </c>
      <c r="V28" s="0" t="s">
        <v>1098</v>
      </c>
      <c r="W28" s="0" t="s">
        <v>1099</v>
      </c>
      <c r="X28" s="0" t="s">
        <v>1100</v>
      </c>
      <c r="Y28" s="0" t="s">
        <v>1101</v>
      </c>
      <c r="Z28" s="0" t="s">
        <v>25</v>
      </c>
      <c r="AA28" s="0" t="s">
        <v>25</v>
      </c>
      <c r="AB28" s="0" t="s">
        <v>25</v>
      </c>
      <c r="AC28" s="0" t="s">
        <v>25</v>
      </c>
      <c r="AD28" s="0" t="s">
        <v>25</v>
      </c>
      <c r="AE28" s="0" t="s">
        <v>25</v>
      </c>
      <c r="AF28" s="0" t="s">
        <v>25</v>
      </c>
      <c r="AG28" s="0" t="s">
        <v>25</v>
      </c>
      <c r="AH28" s="0" t="s">
        <v>25</v>
      </c>
      <c r="AI28" s="0" t="s">
        <v>25</v>
      </c>
      <c r="AJ28" s="0" t="s">
        <v>25</v>
      </c>
      <c r="AK28" s="0" t="s">
        <v>25</v>
      </c>
      <c r="AL28" s="0" t="s">
        <v>25</v>
      </c>
      <c r="AM28" s="0" t="s">
        <v>25</v>
      </c>
      <c r="AN28" s="0" t="s">
        <v>1102</v>
      </c>
      <c r="AO28" s="0" t="s">
        <v>1103</v>
      </c>
      <c r="AP28" s="0" t="s">
        <v>25</v>
      </c>
      <c r="AQ28" s="0" t="s">
        <v>25</v>
      </c>
      <c r="AR28" s="0" t="s">
        <v>25</v>
      </c>
      <c r="AS28" s="0" t="s">
        <v>25</v>
      </c>
      <c r="AT28" s="0" t="s">
        <v>25</v>
      </c>
      <c r="AU28" s="0" t="s">
        <v>25</v>
      </c>
      <c r="AV28" s="0" t="s">
        <v>25</v>
      </c>
      <c r="AW28" s="0" t="s">
        <v>25</v>
      </c>
      <c r="AX28" s="0" t="s">
        <v>25</v>
      </c>
      <c r="AY28" s="0" t="s">
        <v>25</v>
      </c>
      <c r="AZ28" s="0" t="s">
        <v>25</v>
      </c>
      <c r="BA28" s="0" t="s">
        <v>25</v>
      </c>
      <c r="BB28" s="0" t="s">
        <v>25</v>
      </c>
      <c r="BC28" s="0" t="s">
        <v>25</v>
      </c>
      <c r="BD28" s="0" t="s">
        <v>25</v>
      </c>
      <c r="BE28" s="0" t="s">
        <v>1104</v>
      </c>
      <c r="BF28" s="0" t="s">
        <v>25</v>
      </c>
      <c r="BG28" s="0" t="s">
        <v>25</v>
      </c>
      <c r="BH28" s="0" t="s">
        <v>25</v>
      </c>
      <c r="BI28" s="0" t="s">
        <v>25</v>
      </c>
      <c r="BJ28" s="0" t="s">
        <v>25</v>
      </c>
      <c r="BK28" s="0" t="s">
        <v>25</v>
      </c>
      <c r="BL28" s="0" t="s">
        <v>25</v>
      </c>
      <c r="BM28" s="0" t="s">
        <v>25</v>
      </c>
      <c r="BN28" s="0" t="s">
        <v>25</v>
      </c>
      <c r="BO28" s="0" t="s">
        <v>25</v>
      </c>
      <c r="BP28" s="0" t="s">
        <v>25</v>
      </c>
      <c r="BQ28" s="0" t="s">
        <v>25</v>
      </c>
      <c r="BR28" s="0" t="s">
        <v>25</v>
      </c>
      <c r="BS28" s="0" t="s">
        <v>25</v>
      </c>
      <c r="BT28" s="0" t="s">
        <v>1105</v>
      </c>
      <c r="BU28" s="0" t="s">
        <v>1106</v>
      </c>
      <c r="BV28" s="0" t="s">
        <v>1107</v>
      </c>
      <c r="BW28" s="0" t="s">
        <v>1108</v>
      </c>
      <c r="BX28" s="0" t="s">
        <v>1109</v>
      </c>
      <c r="BY28" s="0" t="s">
        <v>1110</v>
      </c>
      <c r="BZ28" s="0" t="s">
        <v>1111</v>
      </c>
      <c r="CA28" s="0" t="s">
        <v>1112</v>
      </c>
      <c r="CB28" s="0" t="s">
        <v>1113</v>
      </c>
      <c r="CC28" s="0" t="s">
        <v>1114</v>
      </c>
      <c r="CD28" s="0" t="s">
        <v>1115</v>
      </c>
      <c r="CE28" s="0" t="s">
        <v>1116</v>
      </c>
      <c r="CF28" s="0" t="s">
        <v>1117</v>
      </c>
      <c r="CG28" s="0" t="s">
        <v>1118</v>
      </c>
      <c r="CH28" s="0" t="s">
        <v>1119</v>
      </c>
      <c r="CI28" s="0" t="s">
        <v>1120</v>
      </c>
    </row>
    <row r="29" customFormat="false" ht="12.8" hidden="false" customHeight="false" outlineLevel="0" collapsed="false">
      <c r="A29" s="0" t="s">
        <v>1121</v>
      </c>
      <c r="B29" s="0" t="s">
        <v>46</v>
      </c>
      <c r="C29" s="0" t="n">
        <v>2013</v>
      </c>
      <c r="D29" s="0" t="s">
        <v>1122</v>
      </c>
      <c r="E29" s="0" t="s">
        <v>1123</v>
      </c>
      <c r="F29" s="0" t="s">
        <v>1124</v>
      </c>
      <c r="G29" s="0" t="s">
        <v>1125</v>
      </c>
      <c r="H29" s="0" t="s">
        <v>1126</v>
      </c>
      <c r="I29" s="0" t="s">
        <v>1127</v>
      </c>
      <c r="J29" s="0" t="s">
        <v>1128</v>
      </c>
      <c r="K29" s="0" t="s">
        <v>1129</v>
      </c>
      <c r="L29" s="0" t="s">
        <v>1130</v>
      </c>
      <c r="M29" s="0" t="s">
        <v>1131</v>
      </c>
      <c r="N29" s="0" t="s">
        <v>1132</v>
      </c>
      <c r="O29" s="0" t="s">
        <v>1133</v>
      </c>
      <c r="P29" s="0" t="s">
        <v>1134</v>
      </c>
      <c r="Q29" s="0" t="s">
        <v>1135</v>
      </c>
      <c r="R29" s="0" t="s">
        <v>1136</v>
      </c>
      <c r="S29" s="0" t="s">
        <v>1137</v>
      </c>
      <c r="T29" s="0" t="s">
        <v>700</v>
      </c>
      <c r="U29" s="0" t="s">
        <v>25</v>
      </c>
      <c r="V29" s="0" t="s">
        <v>25</v>
      </c>
      <c r="W29" s="0" t="s">
        <v>1138</v>
      </c>
      <c r="X29" s="0" t="s">
        <v>1139</v>
      </c>
      <c r="Y29" s="0" t="s">
        <v>1140</v>
      </c>
      <c r="Z29" s="0" t="s">
        <v>25</v>
      </c>
      <c r="AA29" s="0" t="s">
        <v>25</v>
      </c>
      <c r="AB29" s="0" t="s">
        <v>25</v>
      </c>
      <c r="AC29" s="0" t="s">
        <v>25</v>
      </c>
      <c r="AD29" s="0" t="s">
        <v>25</v>
      </c>
      <c r="AE29" s="0" t="s">
        <v>25</v>
      </c>
      <c r="AF29" s="0" t="s">
        <v>25</v>
      </c>
      <c r="AG29" s="0" t="s">
        <v>25</v>
      </c>
      <c r="AH29" s="0" t="s">
        <v>25</v>
      </c>
      <c r="AI29" s="0" t="s">
        <v>25</v>
      </c>
      <c r="AJ29" s="0" t="s">
        <v>25</v>
      </c>
      <c r="AK29" s="0" t="s">
        <v>25</v>
      </c>
      <c r="AL29" s="0" t="s">
        <v>25</v>
      </c>
      <c r="AM29" s="0" t="s">
        <v>25</v>
      </c>
      <c r="AN29" s="0" t="s">
        <v>1141</v>
      </c>
      <c r="AO29" s="0" t="s">
        <v>705</v>
      </c>
      <c r="AP29" s="0" t="s">
        <v>25</v>
      </c>
      <c r="AQ29" s="0" t="s">
        <v>25</v>
      </c>
      <c r="AR29" s="0" t="s">
        <v>25</v>
      </c>
      <c r="AS29" s="0" t="s">
        <v>25</v>
      </c>
      <c r="AT29" s="0" t="s">
        <v>25</v>
      </c>
      <c r="AU29" s="0" t="s">
        <v>25</v>
      </c>
      <c r="AV29" s="0" t="s">
        <v>25</v>
      </c>
      <c r="AW29" s="0" t="s">
        <v>25</v>
      </c>
      <c r="AX29" s="0" t="s">
        <v>25</v>
      </c>
      <c r="AY29" s="0" t="s">
        <v>25</v>
      </c>
      <c r="AZ29" s="0" t="s">
        <v>25</v>
      </c>
      <c r="BA29" s="0" t="s">
        <v>25</v>
      </c>
      <c r="BB29" s="0" t="s">
        <v>25</v>
      </c>
      <c r="BC29" s="0" t="s">
        <v>25</v>
      </c>
      <c r="BD29" s="0" t="s">
        <v>25</v>
      </c>
      <c r="BE29" s="0" t="s">
        <v>1069</v>
      </c>
      <c r="BF29" s="0" t="s">
        <v>25</v>
      </c>
      <c r="BG29" s="0" t="s">
        <v>25</v>
      </c>
      <c r="BH29" s="0" t="s">
        <v>25</v>
      </c>
      <c r="BI29" s="0" t="s">
        <v>25</v>
      </c>
      <c r="BJ29" s="0" t="s">
        <v>25</v>
      </c>
      <c r="BK29" s="0" t="s">
        <v>25</v>
      </c>
      <c r="BL29" s="0" t="s">
        <v>25</v>
      </c>
      <c r="BM29" s="0" t="s">
        <v>25</v>
      </c>
      <c r="BN29" s="0" t="s">
        <v>25</v>
      </c>
      <c r="BO29" s="0" t="s">
        <v>25</v>
      </c>
      <c r="BP29" s="0" t="s">
        <v>25</v>
      </c>
      <c r="BQ29" s="0" t="s">
        <v>25</v>
      </c>
      <c r="BR29" s="0" t="s">
        <v>25</v>
      </c>
      <c r="BS29" s="0" t="s">
        <v>25</v>
      </c>
      <c r="BT29" s="0" t="s">
        <v>1142</v>
      </c>
      <c r="BU29" s="0" t="s">
        <v>1143</v>
      </c>
      <c r="BV29" s="0" t="s">
        <v>1144</v>
      </c>
      <c r="BW29" s="0" t="s">
        <v>1145</v>
      </c>
      <c r="BX29" s="0" t="s">
        <v>1146</v>
      </c>
      <c r="BY29" s="0" t="s">
        <v>1147</v>
      </c>
      <c r="BZ29" s="0" t="s">
        <v>1148</v>
      </c>
      <c r="CA29" s="0" t="s">
        <v>1149</v>
      </c>
      <c r="CB29" s="0" t="s">
        <v>1150</v>
      </c>
      <c r="CC29" s="0" t="s">
        <v>1151</v>
      </c>
      <c r="CD29" s="0" t="s">
        <v>1152</v>
      </c>
      <c r="CE29" s="0" t="s">
        <v>1153</v>
      </c>
      <c r="CF29" s="0" t="s">
        <v>1154</v>
      </c>
      <c r="CG29" s="0" t="s">
        <v>1155</v>
      </c>
      <c r="CH29" s="0" t="s">
        <v>1156</v>
      </c>
      <c r="CI29" s="0" t="s">
        <v>1157</v>
      </c>
    </row>
    <row r="30" customFormat="false" ht="12.8" hidden="false" customHeight="false" outlineLevel="0" collapsed="false">
      <c r="A30" s="0" t="s">
        <v>1158</v>
      </c>
      <c r="B30" s="0" t="s">
        <v>24</v>
      </c>
      <c r="C30" s="0" t="n">
        <v>2012</v>
      </c>
      <c r="D30" s="0" t="s">
        <v>25</v>
      </c>
      <c r="E30" s="0" t="s">
        <v>1159</v>
      </c>
      <c r="F30" s="0" t="s">
        <v>1160</v>
      </c>
      <c r="G30" s="0" t="s">
        <v>1161</v>
      </c>
      <c r="H30" s="0" t="s">
        <v>1159</v>
      </c>
      <c r="I30" s="0" t="s">
        <v>1162</v>
      </c>
      <c r="J30" s="0" t="s">
        <v>1163</v>
      </c>
      <c r="K30" s="0" t="s">
        <v>1164</v>
      </c>
      <c r="L30" s="0" t="s">
        <v>1165</v>
      </c>
      <c r="M30" s="0" t="s">
        <v>1159</v>
      </c>
      <c r="N30" s="0" t="s">
        <v>1166</v>
      </c>
      <c r="O30" s="0" t="s">
        <v>1159</v>
      </c>
      <c r="P30" s="0" t="s">
        <v>1167</v>
      </c>
      <c r="Q30" s="0" t="s">
        <v>1159</v>
      </c>
      <c r="R30" s="0" t="s">
        <v>1159</v>
      </c>
      <c r="S30" s="0" t="s">
        <v>1168</v>
      </c>
      <c r="T30" s="0" t="s">
        <v>25</v>
      </c>
      <c r="U30" s="0" t="s">
        <v>25</v>
      </c>
      <c r="V30" s="0" t="s">
        <v>25</v>
      </c>
      <c r="W30" s="0" t="s">
        <v>1169</v>
      </c>
      <c r="X30" s="0" t="s">
        <v>1170</v>
      </c>
      <c r="Y30" s="0" t="s">
        <v>25</v>
      </c>
      <c r="Z30" s="0" t="s">
        <v>25</v>
      </c>
      <c r="AA30" s="0" t="s">
        <v>25</v>
      </c>
      <c r="AB30" s="0" t="s">
        <v>25</v>
      </c>
      <c r="AC30" s="0" t="s">
        <v>25</v>
      </c>
      <c r="AD30" s="0" t="s">
        <v>25</v>
      </c>
      <c r="AE30" s="0" t="s">
        <v>25</v>
      </c>
      <c r="AF30" s="0" t="s">
        <v>25</v>
      </c>
      <c r="AG30" s="0" t="s">
        <v>25</v>
      </c>
      <c r="AH30" s="0" t="s">
        <v>25</v>
      </c>
      <c r="AI30" s="0" t="s">
        <v>25</v>
      </c>
      <c r="AJ30" s="0" t="s">
        <v>25</v>
      </c>
      <c r="AK30" s="0" t="s">
        <v>25</v>
      </c>
      <c r="AL30" s="0" t="s">
        <v>25</v>
      </c>
      <c r="AM30" s="0" t="s">
        <v>25</v>
      </c>
      <c r="AN30" s="0" t="s">
        <v>1171</v>
      </c>
      <c r="AO30" s="0" t="s">
        <v>25</v>
      </c>
      <c r="AP30" s="0" t="s">
        <v>25</v>
      </c>
      <c r="AQ30" s="0" t="s">
        <v>25</v>
      </c>
      <c r="AR30" s="0" t="s">
        <v>25</v>
      </c>
      <c r="AS30" s="0" t="s">
        <v>25</v>
      </c>
      <c r="AT30" s="0" t="s">
        <v>25</v>
      </c>
      <c r="AU30" s="0" t="s">
        <v>25</v>
      </c>
      <c r="AV30" s="0" t="s">
        <v>25</v>
      </c>
      <c r="AW30" s="0" t="s">
        <v>25</v>
      </c>
      <c r="AX30" s="0" t="s">
        <v>25</v>
      </c>
      <c r="AY30" s="0" t="s">
        <v>25</v>
      </c>
      <c r="AZ30" s="0" t="s">
        <v>25</v>
      </c>
      <c r="BA30" s="0" t="s">
        <v>25</v>
      </c>
      <c r="BB30" s="0" t="s">
        <v>25</v>
      </c>
      <c r="BC30" s="0" t="s">
        <v>25</v>
      </c>
      <c r="BD30" s="0" t="s">
        <v>25</v>
      </c>
      <c r="BE30" s="0" t="s">
        <v>25</v>
      </c>
      <c r="BF30" s="0" t="s">
        <v>25</v>
      </c>
      <c r="BG30" s="0" t="s">
        <v>25</v>
      </c>
      <c r="BH30" s="0" t="s">
        <v>25</v>
      </c>
      <c r="BI30" s="0" t="s">
        <v>25</v>
      </c>
      <c r="BJ30" s="0" t="s">
        <v>25</v>
      </c>
      <c r="BK30" s="0" t="s">
        <v>25</v>
      </c>
      <c r="BL30" s="0" t="s">
        <v>25</v>
      </c>
      <c r="BM30" s="0" t="s">
        <v>25</v>
      </c>
      <c r="BN30" s="0" t="s">
        <v>25</v>
      </c>
      <c r="BO30" s="0" t="s">
        <v>25</v>
      </c>
      <c r="BP30" s="0" t="s">
        <v>25</v>
      </c>
      <c r="BQ30" s="0" t="s">
        <v>25</v>
      </c>
      <c r="BR30" s="0" t="s">
        <v>25</v>
      </c>
      <c r="BS30" s="0" t="s">
        <v>25</v>
      </c>
      <c r="BT30" s="0" t="s">
        <v>1172</v>
      </c>
      <c r="BU30" s="0" t="s">
        <v>1173</v>
      </c>
      <c r="BV30" s="0" t="s">
        <v>1174</v>
      </c>
      <c r="BW30" s="0" t="s">
        <v>1175</v>
      </c>
      <c r="BX30" s="0" t="s">
        <v>1176</v>
      </c>
      <c r="BY30" s="0" t="s">
        <v>1177</v>
      </c>
      <c r="BZ30" s="0" t="s">
        <v>1178</v>
      </c>
      <c r="CA30" s="0" t="s">
        <v>1179</v>
      </c>
      <c r="CB30" s="0" t="s">
        <v>1180</v>
      </c>
      <c r="CC30" s="0" t="s">
        <v>1181</v>
      </c>
      <c r="CD30" s="0" t="s">
        <v>1182</v>
      </c>
      <c r="CE30" s="0" t="s">
        <v>1183</v>
      </c>
      <c r="CF30" s="0" t="s">
        <v>1184</v>
      </c>
      <c r="CG30" s="0" t="s">
        <v>1185</v>
      </c>
      <c r="CH30" s="0" t="s">
        <v>1186</v>
      </c>
      <c r="CI30" s="0" t="s">
        <v>1187</v>
      </c>
    </row>
    <row r="31" customFormat="false" ht="12.8" hidden="false" customHeight="false" outlineLevel="0" collapsed="false">
      <c r="A31" s="0" t="s">
        <v>1188</v>
      </c>
      <c r="B31" s="0" t="s">
        <v>46</v>
      </c>
      <c r="C31" s="0" t="n">
        <v>2012</v>
      </c>
      <c r="D31" s="0" t="s">
        <v>1189</v>
      </c>
      <c r="E31" s="0" t="s">
        <v>1190</v>
      </c>
      <c r="F31" s="0" t="s">
        <v>1191</v>
      </c>
      <c r="G31" s="0" t="s">
        <v>1192</v>
      </c>
      <c r="H31" s="0" t="s">
        <v>1193</v>
      </c>
      <c r="I31" s="0" t="s">
        <v>1194</v>
      </c>
      <c r="J31" s="0" t="s">
        <v>1195</v>
      </c>
      <c r="K31" s="0" t="s">
        <v>1196</v>
      </c>
      <c r="L31" s="0" t="s">
        <v>1197</v>
      </c>
      <c r="M31" s="0" t="s">
        <v>1198</v>
      </c>
      <c r="N31" s="0" t="s">
        <v>1199</v>
      </c>
      <c r="O31" s="0" t="s">
        <v>1200</v>
      </c>
      <c r="P31" s="0" t="s">
        <v>1201</v>
      </c>
      <c r="Q31" s="0" t="s">
        <v>1202</v>
      </c>
      <c r="R31" s="0" t="s">
        <v>1203</v>
      </c>
      <c r="S31" s="0" t="s">
        <v>1204</v>
      </c>
      <c r="T31" s="0" t="s">
        <v>700</v>
      </c>
      <c r="U31" s="0" t="s">
        <v>25</v>
      </c>
      <c r="V31" s="0" t="s">
        <v>25</v>
      </c>
      <c r="W31" s="0" t="s">
        <v>1205</v>
      </c>
      <c r="X31" s="0" t="s">
        <v>1206</v>
      </c>
      <c r="Y31" s="0" t="s">
        <v>1207</v>
      </c>
      <c r="Z31" s="0" t="s">
        <v>25</v>
      </c>
      <c r="AA31" s="0" t="s">
        <v>25</v>
      </c>
      <c r="AB31" s="0" t="s">
        <v>25</v>
      </c>
      <c r="AC31" s="0" t="s">
        <v>25</v>
      </c>
      <c r="AD31" s="0" t="s">
        <v>25</v>
      </c>
      <c r="AE31" s="0" t="s">
        <v>25</v>
      </c>
      <c r="AF31" s="0" t="s">
        <v>25</v>
      </c>
      <c r="AG31" s="0" t="s">
        <v>25</v>
      </c>
      <c r="AH31" s="0" t="s">
        <v>25</v>
      </c>
      <c r="AI31" s="0" t="s">
        <v>25</v>
      </c>
      <c r="AJ31" s="0" t="s">
        <v>25</v>
      </c>
      <c r="AK31" s="0" t="s">
        <v>25</v>
      </c>
      <c r="AL31" s="0" t="s">
        <v>25</v>
      </c>
      <c r="AM31" s="0" t="s">
        <v>25</v>
      </c>
      <c r="AN31" s="0" t="s">
        <v>1208</v>
      </c>
      <c r="AO31" s="0" t="s">
        <v>1209</v>
      </c>
      <c r="AP31" s="0" t="s">
        <v>25</v>
      </c>
      <c r="AQ31" s="0" t="s">
        <v>25</v>
      </c>
      <c r="AR31" s="0" t="s">
        <v>25</v>
      </c>
      <c r="AS31" s="0" t="s">
        <v>25</v>
      </c>
      <c r="AT31" s="0" t="s">
        <v>25</v>
      </c>
      <c r="AU31" s="0" t="s">
        <v>25</v>
      </c>
      <c r="AV31" s="0" t="s">
        <v>25</v>
      </c>
      <c r="AW31" s="0" t="s">
        <v>25</v>
      </c>
      <c r="AX31" s="0" t="s">
        <v>25</v>
      </c>
      <c r="AY31" s="0" t="s">
        <v>25</v>
      </c>
      <c r="AZ31" s="0" t="s">
        <v>25</v>
      </c>
      <c r="BA31" s="0" t="s">
        <v>25</v>
      </c>
      <c r="BB31" s="0" t="s">
        <v>25</v>
      </c>
      <c r="BC31" s="0" t="s">
        <v>25</v>
      </c>
      <c r="BD31" s="0" t="s">
        <v>25</v>
      </c>
      <c r="BE31" s="0" t="s">
        <v>1210</v>
      </c>
      <c r="BF31" s="0" t="s">
        <v>25</v>
      </c>
      <c r="BG31" s="0" t="s">
        <v>25</v>
      </c>
      <c r="BH31" s="0" t="s">
        <v>25</v>
      </c>
      <c r="BI31" s="0" t="s">
        <v>25</v>
      </c>
      <c r="BJ31" s="0" t="s">
        <v>25</v>
      </c>
      <c r="BK31" s="0" t="s">
        <v>25</v>
      </c>
      <c r="BL31" s="0" t="s">
        <v>25</v>
      </c>
      <c r="BM31" s="0" t="s">
        <v>25</v>
      </c>
      <c r="BN31" s="0" t="s">
        <v>25</v>
      </c>
      <c r="BO31" s="0" t="s">
        <v>25</v>
      </c>
      <c r="BP31" s="0" t="s">
        <v>25</v>
      </c>
      <c r="BQ31" s="0" t="s">
        <v>25</v>
      </c>
      <c r="BR31" s="0" t="s">
        <v>25</v>
      </c>
      <c r="BS31" s="0" t="s">
        <v>25</v>
      </c>
      <c r="BT31" s="0" t="s">
        <v>1172</v>
      </c>
      <c r="BU31" s="0" t="s">
        <v>1211</v>
      </c>
      <c r="BV31" s="0" t="s">
        <v>1174</v>
      </c>
      <c r="BW31" s="0" t="s">
        <v>1175</v>
      </c>
      <c r="BX31" s="0" t="s">
        <v>1176</v>
      </c>
      <c r="BY31" s="0" t="s">
        <v>1177</v>
      </c>
      <c r="BZ31" s="0" t="s">
        <v>1178</v>
      </c>
      <c r="CA31" s="0" t="s">
        <v>1179</v>
      </c>
      <c r="CB31" s="0" t="s">
        <v>1180</v>
      </c>
      <c r="CC31" s="0" t="s">
        <v>1181</v>
      </c>
      <c r="CD31" s="0" t="s">
        <v>1182</v>
      </c>
      <c r="CE31" s="0" t="s">
        <v>1183</v>
      </c>
      <c r="CF31" s="0" t="s">
        <v>1184</v>
      </c>
      <c r="CG31" s="0" t="s">
        <v>1185</v>
      </c>
      <c r="CH31" s="0" t="s">
        <v>1186</v>
      </c>
      <c r="CI31" s="0" t="s">
        <v>1187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7"/>
  <sheetViews>
    <sheetView showFormulas="false" showGridLines="true" showRowColHeaders="true" showZeros="true" rightToLeft="false" tabSelected="true" showOutlineSymbols="true" defaultGridColor="true" view="normal" topLeftCell="B34" colorId="64" zoomScale="100" zoomScaleNormal="100" zoomScalePageLayoutView="100" workbookViewId="0">
      <selection pane="topLeft" activeCell="C11" activeCellId="0" sqref="C11:C37"/>
    </sheetView>
  </sheetViews>
  <sheetFormatPr defaultColWidth="11.53515625" defaultRowHeight="12.8" customHeight="false" zeroHeight="false" outlineLevelRow="0" outlineLevelCol="0"/>
  <cols>
    <col collapsed="false" customWidth="true" hidden="false" outlineLevel="0" max="1" min="1" style="0" width="40.62"/>
    <col collapsed="false" customWidth="true" hidden="false" outlineLevel="0" max="2" min="2" style="0" width="186.94"/>
    <col collapsed="false" customWidth="true" hidden="false" outlineLevel="0" max="3" min="3" style="0" width="40.34"/>
  </cols>
  <sheetData>
    <row r="1" customFormat="false" ht="12.8" hidden="false" customHeight="false" outlineLevel="0" collapsed="false">
      <c r="B1" s="0" t="s">
        <v>7</v>
      </c>
    </row>
    <row r="2" customFormat="false" ht="12.8" hidden="false" customHeight="false" outlineLevel="0" collapsed="false">
      <c r="A2" s="0" t="s">
        <v>1212</v>
      </c>
      <c r="B2" s="0" t="str">
        <f aca="false">'range-0'!H2</f>
        <v>2026_advent</v>
      </c>
      <c r="C2" s="0" t="str">
        <f aca="false">INDEX('range-0'!$H:$H,COLUMN(C2))</f>
        <v>2026_lent</v>
      </c>
      <c r="D2" s="0" t="str">
        <f aca="false">INDEX('range-0'!$H:$H,COLUMN(D2))</f>
        <v>2025_advent</v>
      </c>
      <c r="E2" s="0" t="str">
        <f aca="false">INDEX('range-0'!$H:$H,COLUMN(E2))</f>
        <v>2025_lent</v>
      </c>
      <c r="F2" s="0" t="str">
        <f aca="false">INDEX('range-0'!$H:$H,COLUMN(F2))</f>
        <v>2024_advent</v>
      </c>
      <c r="G2" s="0" t="str">
        <f aca="false">INDEX('range-0'!$H:$H,COLUMN(G2))</f>
        <v>2024_lent</v>
      </c>
      <c r="H2" s="0" t="str">
        <f aca="false">INDEX('range-0'!$H:$H,COLUMN(H2))</f>
        <v>2023_advent</v>
      </c>
      <c r="I2" s="0" t="str">
        <f aca="false">INDEX('range-0'!$H:$H,COLUMN(I2))</f>
        <v>2023_lent</v>
      </c>
    </row>
    <row r="3" customFormat="false" ht="12.8" hidden="false" customHeight="false" outlineLevel="0" collapsed="false">
      <c r="A3" s="0" t="s">
        <v>1213</v>
      </c>
      <c r="B3" s="0" t="str">
        <f aca="false">'range-0'!AB2</f>
        <v>Advent 2026 with Brother Lawrence of the Resurrection</v>
      </c>
      <c r="C3" s="0" t="str">
        <f aca="false">INDEX('range-0'!$AB:$AB,COLUMN(C3))</f>
        <v>Carmelite Online Lenten Retreat 2026 with Saint John of the Cross</v>
      </c>
      <c r="D3" s="0" t="str">
        <f aca="false">INDEX('range-0'!$AB:$AB,COLUMN(D3))</f>
        <v>Advent 2025 with St. Mariam of Jesus Crucified</v>
      </c>
      <c r="E3" s="0" t="str">
        <f aca="false">INDEX('range-0'!$AB:$AB,COLUMN(E3))</f>
        <v/>
      </c>
      <c r="F3" s="0" t="str">
        <f aca="false">INDEX('range-0'!$AB:$AB,COLUMN(F3))</f>
        <v/>
      </c>
      <c r="G3" s="0" t="str">
        <f aca="false">INDEX('range-0'!$AB:$AB,COLUMN(G3))</f>
        <v/>
      </c>
      <c r="H3" s="0" t="str">
        <f aca="false">INDEX('range-0'!$AB:$AB,COLUMN(H3))</f>
        <v/>
      </c>
      <c r="I3" s="0" t="str">
        <f aca="false">INDEX('range-0'!$AB:$AB,COLUMN(I3))</f>
        <v/>
      </c>
    </row>
    <row r="4" customFormat="false" ht="12.8" hidden="false" customHeight="false" outlineLevel="0" collapsed="false">
      <c r="A4" s="0" t="s">
        <v>1214</v>
      </c>
      <c r="B4" s="0" t="s">
        <v>1215</v>
      </c>
      <c r="C4" s="0" t="str">
        <f aca="false">INDEX('range-0'!$AR:$AR,COLUMN(C4))</f>
        <v>Encountering Christ in the Depths of Our Hearts</v>
      </c>
      <c r="D4" s="0" t="str">
        <f aca="false">INDEX('range-0'!$AR:$AR,COLUMN(D4))</f>
        <v>Mariam, or the Way of the Lord's Poor</v>
      </c>
      <c r="E4" s="0" t="str">
        <f aca="false">INDEX('range-0'!$AR:$AR,COLUMN(E4))</f>
        <v/>
      </c>
      <c r="F4" s="0" t="str">
        <f aca="false">INDEX('range-0'!$AR:$AR,COLUMN(F4))</f>
        <v/>
      </c>
      <c r="G4" s="0" t="str">
        <f aca="false">INDEX('range-0'!$AR:$AR,COLUMN(G4))</f>
        <v/>
      </c>
      <c r="H4" s="0" t="str">
        <f aca="false">INDEX('range-0'!$AR:$AR,COLUMN(H4))</f>
        <v/>
      </c>
      <c r="I4" s="0" t="str">
        <f aca="false">INDEX('range-0'!$AR:$AR,COLUMN(I4))</f>
        <v/>
      </c>
    </row>
    <row r="5" customFormat="false" ht="12.8" hidden="false" customHeight="false" outlineLevel="0" collapsed="false">
      <c r="A5" s="0" t="s">
        <v>1216</v>
      </c>
      <c r="B5" s="0" t="s">
        <v>1217</v>
      </c>
      <c r="C5" s="0" t="str">
        <f aca="false">INDEX('range-0'!$BH:$BH,COLUMN(C5))</f>
        <v>We invite you to take part in an online retreat guided by Saint John of the Cross. Throughout this retreat, we will deepen our relationship with Jesus in the light of the Gospels. In the Holy Spirit, we will rediscover our intimacy with him and with the Father, in the very depths of our hearts. This retreat will be a path of interior liberation, with John of the Cross as our sure guide. In a world that is increasingly turned outward, he will teach us to rediscover our deepest heart, where Christ, Bridegroom of the Church, desires to meet us and to purify us. Through this purification, in the fire of the Holy Spirit, we may become the beloved children of the Father with him.</v>
      </c>
      <c r="D5" s="0" t="str">
        <f aca="false">INDEX('range-0'!$BH:$BH,COLUMN(D5))</f>
        <v>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v>
      </c>
      <c r="E5" s="0" t="str">
        <f aca="false">INDEX('range-0'!$BH:$BH,COLUMN(E5))</f>
        <v/>
      </c>
      <c r="F5" s="0" t="str">
        <f aca="false">INDEX('range-0'!$BH:$BH,COLUMN(F5))</f>
        <v/>
      </c>
      <c r="G5" s="0" t="str">
        <f aca="false">INDEX('range-0'!$BH:$BH,COLUMN(G5))</f>
        <v/>
      </c>
      <c r="H5" s="0" t="str">
        <f aca="false">INDEX('range-0'!$BH:$BH,COLUMN(H5))</f>
        <v/>
      </c>
      <c r="I5" s="0" t="str">
        <f aca="false">INDEX('range-0'!$BH:$BH,COLUMN(I5))</f>
        <v/>
      </c>
    </row>
    <row r="6" customFormat="false" ht="12.8" hidden="false" customHeight="false" outlineLevel="0" collapsed="false">
      <c r="A6" s="0" t="s">
        <v>1218</v>
      </c>
      <c r="B6" s="0" t="s">
        <v>1219</v>
      </c>
      <c r="C6" s="0" t="str">
        <f aca="false">INDEX('range-0'!$BX:$BX,COLUMN(C6))</f>
        <v>../en/img/2026_lent_header_EN.png</v>
      </c>
      <c r="D6" s="0" t="str">
        <f aca="false">INDEX('range-0'!$BX:$BX,COLUMN(D6))</f>
        <v>../en/img/2025_advent_header_EN.png</v>
      </c>
      <c r="E6" s="0" t="str">
        <f aca="false">INDEX('range-0'!$BX:$BX,COLUMN(E6))</f>
        <v>../img/FS25_header_EN.png</v>
      </c>
      <c r="F6" s="0" t="str">
        <f aca="false">INDEX('range-0'!$BX:$BX,COLUMN(F6))</f>
        <v>../img/AD24_header_EN.png</v>
      </c>
      <c r="G6" s="0" t="str">
        <f aca="false">INDEX('range-0'!$BX:$BX,COLUMN(G6))</f>
        <v>../en/img/2024_lent_header_EN.png</v>
      </c>
      <c r="H6" s="0" t="str">
        <f aca="false">INDEX('range-0'!$BX:$BX,COLUMN(H6))</f>
        <v>../img/2023_advent_header_EN.png</v>
      </c>
      <c r="I6" s="0" t="str">
        <f aca="false">INDEX('range-0'!$BX:$BX,COLUMN(I6))</f>
        <v>../img/2023_lent_header_EN.png</v>
      </c>
    </row>
    <row r="7" customFormat="false" ht="12.8" hidden="false" customHeight="false" outlineLevel="0" collapsed="false">
      <c r="A7" s="0" t="s">
        <v>1220</v>
      </c>
      <c r="B7" s="0" t="str">
        <f aca="false">INDEX('range-0'!$U:$U,COLUMN(B7))</f>
        <v>2026-11-25</v>
      </c>
      <c r="C7" s="0" t="str">
        <f aca="false">INDEX('range-0'!$U:$U,COLUMN(C7))</f>
        <v>2026-02-18</v>
      </c>
      <c r="D7" s="0" t="str">
        <f aca="false">INDEX('range-0'!$U:$U,COLUMN(D7))</f>
        <v>2025-11-26</v>
      </c>
      <c r="E7" s="0" t="str">
        <f aca="false">INDEX('range-0'!$U:$U,COLUMN(E7))</f>
        <v>2025-03-05</v>
      </c>
      <c r="F7" s="0" t="str">
        <f aca="false">INDEX('range-0'!$U:$U,COLUMN(F7))</f>
        <v>2024-11-27</v>
      </c>
      <c r="G7" s="0" t="str">
        <f aca="false">INDEX('range-0'!$U:$U,COLUMN(G7))</f>
        <v>2024-02-14</v>
      </c>
      <c r="H7" s="0" t="str">
        <f aca="false">INDEX('range-0'!$U:$U,COLUMN(H7))</f>
        <v>2023-11-29</v>
      </c>
      <c r="I7" s="0" t="str">
        <f aca="false">INDEX('range-0'!$U:$U,COLUMN(I7))</f>
        <v>2023-02-22</v>
      </c>
    </row>
    <row r="8" customFormat="false" ht="12.8" hidden="false" customHeight="false" outlineLevel="0" collapsed="false">
      <c r="A8" s="0" t="s">
        <v>1221</v>
      </c>
      <c r="B8" s="0" t="str">
        <f aca="false">INDEX('range-0'!$V:$V,COLUMN(B8))</f>
        <v>2027-01-03</v>
      </c>
      <c r="C8" s="0" t="str">
        <f aca="false">INDEX('range-0'!$V:$V,COLUMN(C8))</f>
        <v>2026-04-05</v>
      </c>
      <c r="D8" s="0" t="str">
        <f aca="false">INDEX('range-0'!$V:$V,COLUMN(D8))</f>
        <v>2025-12-25</v>
      </c>
      <c r="E8" s="0" t="str">
        <f aca="false">INDEX('range-0'!$V:$V,COLUMN(E8))</f>
        <v>2025-04-27</v>
      </c>
      <c r="F8" s="0" t="str">
        <f aca="false">INDEX('range-0'!$V:$V,COLUMN(F8))</f>
        <v>2025-01-05</v>
      </c>
      <c r="G8" s="0" t="str">
        <f aca="false">INDEX('range-0'!$V:$V,COLUMN(G8))</f>
        <v>2024-04-07</v>
      </c>
      <c r="H8" s="0" t="str">
        <f aca="false">INDEX('range-0'!$V:$V,COLUMN(H8))</f>
        <v>2023-12-25</v>
      </c>
      <c r="I8" s="0" t="str">
        <f aca="false">INDEX('range-0'!$V:$V,COLUMN(I8))</f>
        <v>2023-04-16</v>
      </c>
    </row>
    <row r="11" customFormat="false" ht="225.35" hidden="false" customHeight="false" outlineLevel="0" collapsed="false">
      <c r="A11" s="4" t="s">
        <v>1222</v>
      </c>
      <c r="B11" s="4" t="str">
        <f aca="false">_xlfn.ORG.LIBREOFFICE.REGEX(    _xlfn.ORG.LIBREOFFICE.REGEX($A11, "lang\s*=\s*""[^""]+""", "lang=""" &amp; B1 &amp; """"),    "&lt;title&gt;\s*[^&lt;]*\s*&lt;/title&gt;",    "&lt;title&gt;" &amp; B3 &amp; "&lt;/title&gt;" )</f>
        <v>&lt;!doctype html&gt;&lt;html lang="en"&gt;  &lt;head&gt;    &lt;meta charset="UTF-8" /&gt;    &lt;meta name="viewport" content="width=device-width, initial-scale=1.0" /&gt;    &lt;title&gt;Advent 2026 with Brother Lawrence of the Resurrection&lt;/title&gt;</v>
      </c>
      <c r="C11" s="4" t="str">
        <f aca="false">_xlfn.ORG.LIBREOFFICE.REGEX(    _xlfn.ORG.LIBREOFFICE.REGEX($A11, "lang\s*=\s*""[^""]+""", "lang=""" &amp; C1 &amp; """"),    "&lt;title&gt;\s*[^&lt;]*\s*&lt;/title&gt;",    "&lt;title&gt;" &amp; C3 &amp; "&lt;/title&gt;" )</f>
        <v>&lt;!doctype html&gt;&lt;html lang=""&gt;  &lt;head&gt;    &lt;meta charset="UTF-8" /&gt;    &lt;meta name="viewport" content="width=device-width, initial-scale=1.0" /&gt;    &lt;title&gt;Carmelite Online Lenten Retreat 2026 with Saint John of the Cross&lt;/title&gt;</v>
      </c>
      <c r="D11" s="4" t="str">
        <f aca="false">_xlfn.ORG.LIBREOFFICE.REGEX(    _xlfn.ORG.LIBREOFFICE.REGEX($A11, "lang\s*=\s*""[^""]+""", "lang=""" &amp; D1 &amp; """"),    "&lt;title&gt;\s*[^&lt;]*\s*&lt;/title&gt;",    "&lt;title&gt;" &amp; D3 &amp; "&lt;/title&gt;" )</f>
        <v>&lt;!doctype html&gt;&lt;html lang=""&gt;  &lt;head&gt;    &lt;meta charset="UTF-8" /&gt;    &lt;meta name="viewport" content="width=device-width, initial-scale=1.0" /&gt;    &lt;title&gt;Advent 2025 with St. Mariam of Jesus Crucified&lt;/title&gt;</v>
      </c>
      <c r="E11" s="4" t="str">
        <f aca="false">_xlfn.ORG.LIBREOFFICE.REGEX(    _xlfn.ORG.LIBREOFFICE.REGEX($A11, "lang\s*=\s*""[^""]+""", "lang=""" &amp; E1 &amp; """"),    "&lt;title&gt;\s*[^&lt;]*\s*&lt;/title&gt;",    "&lt;title&gt;" &amp; E3 &amp; "&lt;/title&gt;" )</f>
        <v>&lt;!doctype html&gt;&lt;html lang=""&gt;  &lt;head&gt;    &lt;meta charset="UTF-8" /&gt;    &lt;meta name="viewport" content="width=device-width, initial-scale=1.0" /&gt;    &lt;title&gt;&lt;/title&gt;</v>
      </c>
      <c r="F11" s="4" t="str">
        <f aca="false">_xlfn.ORG.LIBREOFFICE.REGEX(    _xlfn.ORG.LIBREOFFICE.REGEX($A11, "lang\s*=\s*""[^""]+""", "lang=""" &amp; F1 &amp; """"),    "&lt;title&gt;\s*[^&lt;]*\s*&lt;/title&gt;",    "&lt;title&gt;" &amp; F3 &amp; "&lt;/title&gt;" )</f>
        <v>&lt;!doctype html&gt;&lt;html lang=""&gt;  &lt;head&gt;    &lt;meta charset="UTF-8" /&gt;    &lt;meta name="viewport" content="width=device-width, initial-scale=1.0" /&gt;    &lt;title&gt;&lt;/title&gt;</v>
      </c>
      <c r="G11" s="4" t="str">
        <f aca="false">_xlfn.ORG.LIBREOFFICE.REGEX(    _xlfn.ORG.LIBREOFFICE.REGEX($A11, "lang\s*=\s*""[^""]+""", "lang=""" &amp; G1 &amp; """"),    "&lt;title&gt;\s*[^&lt;]*\s*&lt;/title&gt;",    "&lt;title&gt;" &amp; G3 &amp; "&lt;/title&gt;" )</f>
        <v>&lt;!doctype html&gt;&lt;html lang=""&gt;  &lt;head&gt;    &lt;meta charset="UTF-8" /&gt;    &lt;meta name="viewport" content="width=device-width, initial-scale=1.0" /&gt;    &lt;title&gt;&lt;/title&gt;</v>
      </c>
      <c r="H11" s="4" t="str">
        <f aca="false">_xlfn.ORG.LIBREOFFICE.REGEX(    _xlfn.ORG.LIBREOFFICE.REGEX($A11, "lang\s*=\s*""[^""]+""", "lang=""" &amp; H1 &amp; """"),    "&lt;title&gt;\s*[^&lt;]*\s*&lt;/title&gt;",    "&lt;title&gt;" &amp; H3 &amp; "&lt;/title&gt;" )</f>
        <v>&lt;!doctype html&gt;&lt;html lang=""&gt;  &lt;head&gt;    &lt;meta charset="UTF-8" /&gt;    &lt;meta name="viewport" content="width=device-width, initial-scale=1.0" /&gt;    &lt;title&gt;&lt;/title&gt;</v>
      </c>
      <c r="I11" s="4" t="str">
        <f aca="false">_xlfn.ORG.LIBREOFFICE.REGEX(    _xlfn.ORG.LIBREOFFICE.REGEX($A11, "lang\s*=\s*""[^""]+""", "lang=""" &amp; I1 &amp; """"),    "&lt;title&gt;\s*[^&lt;]*\s*&lt;/title&gt;",    "&lt;title&gt;" &amp; I3 &amp; "&lt;/title&gt;" )</f>
        <v>&lt;!doctype html&gt;&lt;html lang=""&gt;  &lt;head&gt;    &lt;meta charset="UTF-8" /&gt;    &lt;meta name="viewport" content="width=device-width, initial-scale=1.0" /&gt;    &lt;title&gt;&lt;/title&gt;</v>
      </c>
      <c r="J11" s="4" t="str">
        <f aca="false">_xlfn.ORG.LIBREOFFICE.REGEX(    _xlfn.ORG.LIBREOFFICE.REGEX($A11, "lang\s*=\s*""[^""]+""", "lang=""" &amp; J1 &amp; """"),    "&lt;title&gt;\s*[^&lt;]*\s*&lt;/title&gt;",    "&lt;title&gt;" &amp; J3 &amp; "&lt;/title&gt;" )</f>
        <v>&lt;!doctype html&gt;&lt;html lang=""&gt;  &lt;head&gt;    &lt;meta charset="UTF-8" /&gt;    &lt;meta name="viewport" content="width=device-width, initial-scale=1.0" /&gt;    &lt;title&gt;&lt;/title&gt;</v>
      </c>
      <c r="K11" s="4" t="str">
        <f aca="false">_xlfn.ORG.LIBREOFFICE.REGEX(    _xlfn.ORG.LIBREOFFICE.REGEX($A11, "lang\s*=\s*""[^""]+""", "lang=""" &amp; K1 &amp; """"),    "&lt;title&gt;\s*[^&lt;]*\s*&lt;/title&gt;",    "&lt;title&gt;" &amp; K3 &amp; "&lt;/title&gt;" )</f>
        <v>&lt;!doctype html&gt;&lt;html lang=""&gt;  &lt;head&gt;    &lt;meta charset="UTF-8" /&gt;    &lt;meta name="viewport" content="width=device-width, initial-scale=1.0" /&gt;    &lt;title&gt;&lt;/title&gt;</v>
      </c>
      <c r="L11" s="4" t="str">
        <f aca="false">_xlfn.ORG.LIBREOFFICE.REGEX(    _xlfn.ORG.LIBREOFFICE.REGEX($A11, "lang\s*=\s*""[^""]+""", "lang=""" &amp; L1 &amp; """"),    "&lt;title&gt;\s*[^&lt;]*\s*&lt;/title&gt;",    "&lt;title&gt;" &amp; L3 &amp; "&lt;/title&gt;" )</f>
        <v>&lt;!doctype html&gt;&lt;html lang=""&gt;  &lt;head&gt;    &lt;meta charset="UTF-8" /&gt;    &lt;meta name="viewport" content="width=device-width, initial-scale=1.0" /&gt;    &lt;title&gt;&lt;/title&gt;</v>
      </c>
      <c r="M11" s="4" t="str">
        <f aca="false">_xlfn.ORG.LIBREOFFICE.REGEX(    _xlfn.ORG.LIBREOFFICE.REGEX($A11, "lang\s*=\s*""[^""]+""", "lang=""" &amp; M1 &amp; """"),    "&lt;title&gt;\s*[^&lt;]*\s*&lt;/title&gt;",    "&lt;title&gt;" &amp; M3 &amp; "&lt;/title&gt;" )</f>
        <v>&lt;!doctype html&gt;&lt;html lang=""&gt;  &lt;head&gt;    &lt;meta charset="UTF-8" /&gt;    &lt;meta name="viewport" content="width=device-width, initial-scale=1.0" /&gt;    &lt;title&gt;&lt;/title&gt;</v>
      </c>
      <c r="N11" s="4" t="str">
        <f aca="false">_xlfn.ORG.LIBREOFFICE.REGEX(    _xlfn.ORG.LIBREOFFICE.REGEX($A11, "lang\s*=\s*""[^""]+""", "lang=""" &amp; N1 &amp; """"),    "&lt;title&gt;\s*[^&lt;]*\s*&lt;/title&gt;",    "&lt;title&gt;" &amp; N3 &amp; "&lt;/title&gt;" )</f>
        <v>&lt;!doctype html&gt;&lt;html lang=""&gt;  &lt;head&gt;    &lt;meta charset="UTF-8" /&gt;    &lt;meta name="viewport" content="width=device-width, initial-scale=1.0" /&gt;    &lt;title&gt;&lt;/title&gt;</v>
      </c>
      <c r="O11" s="4" t="str">
        <f aca="false">_xlfn.ORG.LIBREOFFICE.REGEX(    _xlfn.ORG.LIBREOFFICE.REGEX($A11, "lang\s*=\s*""[^""]+""", "lang=""" &amp; O1 &amp; """"),    "&lt;title&gt;\s*[^&lt;]*\s*&lt;/title&gt;",    "&lt;title&gt;" &amp; O3 &amp; "&lt;/title&gt;" )</f>
        <v>&lt;!doctype html&gt;&lt;html lang=""&gt;  &lt;head&gt;    &lt;meta charset="UTF-8" /&gt;    &lt;meta name="viewport" content="width=device-width, initial-scale=1.0" /&gt;    &lt;title&gt;&lt;/title&gt;</v>
      </c>
      <c r="P11" s="4" t="str">
        <f aca="false">_xlfn.ORG.LIBREOFFICE.REGEX(    _xlfn.ORG.LIBREOFFICE.REGEX($A11, "lang\s*=\s*""[^""]+""", "lang=""" &amp; P1 &amp; """"),    "&lt;title&gt;\s*[^&lt;]*\s*&lt;/title&gt;",    "&lt;title&gt;" &amp; P3 &amp; "&lt;/title&gt;" )</f>
        <v>&lt;!doctype html&gt;&lt;html lang=""&gt;  &lt;head&gt;    &lt;meta charset="UTF-8" /&gt;    &lt;meta name="viewport" content="width=device-width, initial-scale=1.0" /&gt;    &lt;title&gt;&lt;/title&gt;</v>
      </c>
      <c r="Q11" s="4" t="str">
        <f aca="false">_xlfn.ORG.LIBREOFFICE.REGEX(    _xlfn.ORG.LIBREOFFICE.REGEX($A11, "lang\s*=\s*""[^""]+""", "lang=""" &amp; Q1 &amp; """"),    "&lt;title&gt;\s*[^&lt;]*\s*&lt;/title&gt;",    "&lt;title&gt;" &amp; Q3 &amp; "&lt;/title&gt;" )</f>
        <v>&lt;!doctype html&gt;&lt;html lang=""&gt;  &lt;head&gt;    &lt;meta charset="UTF-8" /&gt;    &lt;meta name="viewport" content="width=device-width, initial-scale=1.0" /&gt;    &lt;title&gt;&lt;/title&gt;</v>
      </c>
      <c r="R11" s="4" t="str">
        <f aca="false">_xlfn.ORG.LIBREOFFICE.REGEX(    _xlfn.ORG.LIBREOFFICE.REGEX($A11, "lang\s*=\s*""[^""]+""", "lang=""" &amp; R1 &amp; """"),    "&lt;title&gt;\s*[^&lt;]*\s*&lt;/title&gt;",    "&lt;title&gt;" &amp; R3 &amp; "&lt;/title&gt;" )</f>
        <v>&lt;!doctype html&gt;&lt;html lang=""&gt;  &lt;head&gt;    &lt;meta charset="UTF-8" /&gt;    &lt;meta name="viewport" content="width=device-width, initial-scale=1.0" /&gt;    &lt;title&gt;&lt;/title&gt;</v>
      </c>
      <c r="S11" s="4" t="str">
        <f aca="false">_xlfn.ORG.LIBREOFFICE.REGEX(    _xlfn.ORG.LIBREOFFICE.REGEX($A11, "lang\s*=\s*""[^""]+""", "lang=""" &amp; S1 &amp; """"),    "&lt;title&gt;\s*[^&lt;]*\s*&lt;/title&gt;",    "&lt;title&gt;" &amp; S3 &amp; "&lt;/title&gt;" )</f>
        <v>&lt;!doctype html&gt;&lt;html lang=""&gt;  &lt;head&gt;    &lt;meta charset="UTF-8" /&gt;    &lt;meta name="viewport" content="width=device-width, initial-scale=1.0" /&gt;    &lt;title&gt;&lt;/title&gt;</v>
      </c>
      <c r="T11" s="4" t="str">
        <f aca="false">_xlfn.ORG.LIBREOFFICE.REGEX(    _xlfn.ORG.LIBREOFFICE.REGEX($A11, "lang\s*=\s*""[^""]+""", "lang=""" &amp; T1 &amp; """"),    "&lt;title&gt;\s*[^&lt;]*\s*&lt;/title&gt;",    "&lt;title&gt;" &amp; T3 &amp; "&lt;/title&gt;" )</f>
        <v>&lt;!doctype html&gt;&lt;html lang=""&gt;  &lt;head&gt;    &lt;meta charset="UTF-8" /&gt;    &lt;meta name="viewport" content="width=device-width, initial-scale=1.0" /&gt;    &lt;title&gt;&lt;/title&gt;</v>
      </c>
      <c r="U11" s="4" t="str">
        <f aca="false">_xlfn.ORG.LIBREOFFICE.REGEX(    _xlfn.ORG.LIBREOFFICE.REGEX($A11, "lang\s*=\s*""[^""]+""", "lang=""" &amp; U1 &amp; """"),    "&lt;title&gt;\s*[^&lt;]*\s*&lt;/title&gt;",    "&lt;title&gt;" &amp; U3 &amp; "&lt;/title&gt;" )</f>
        <v>&lt;!doctype html&gt;&lt;html lang=""&gt;  &lt;head&gt;    &lt;meta charset="UTF-8" /&gt;    &lt;meta name="viewport" content="width=device-width, initial-scale=1.0" /&gt;    &lt;title&gt;&lt;/title&gt;</v>
      </c>
      <c r="V11" s="4" t="str">
        <f aca="false">_xlfn.ORG.LIBREOFFICE.REGEX(    _xlfn.ORG.LIBREOFFICE.REGEX($A11, "lang\s*=\s*""[^""]+""", "lang=""" &amp; V1 &amp; """"),    "&lt;title&gt;\s*[^&lt;]*\s*&lt;/title&gt;",    "&lt;title&gt;" &amp; V3 &amp; "&lt;/title&gt;" )</f>
        <v>&lt;!doctype html&gt;&lt;html lang=""&gt;  &lt;head&gt;    &lt;meta charset="UTF-8" /&gt;    &lt;meta name="viewport" content="width=device-width, initial-scale=1.0" /&gt;    &lt;title&gt;&lt;/title&gt;</v>
      </c>
      <c r="W11" s="4" t="str">
        <f aca="false">_xlfn.ORG.LIBREOFFICE.REGEX(    _xlfn.ORG.LIBREOFFICE.REGEX($A11, "lang\s*=\s*""[^""]+""", "lang=""" &amp; W1 &amp; """"),    "&lt;title&gt;\s*[^&lt;]*\s*&lt;/title&gt;",    "&lt;title&gt;" &amp; W3 &amp; "&lt;/title&gt;" )</f>
        <v>&lt;!doctype html&gt;&lt;html lang=""&gt;  &lt;head&gt;    &lt;meta charset="UTF-8" /&gt;    &lt;meta name="viewport" content="width=device-width, initial-scale=1.0" /&gt;    &lt;title&gt;&lt;/title&gt;</v>
      </c>
      <c r="X11" s="4" t="str">
        <f aca="false">_xlfn.ORG.LIBREOFFICE.REGEX(    _xlfn.ORG.LIBREOFFICE.REGEX($A11, "lang\s*=\s*""[^""]+""", "lang=""" &amp; X1 &amp; """"),    "&lt;title&gt;\s*[^&lt;]*\s*&lt;/title&gt;",    "&lt;title&gt;" &amp; X3 &amp; "&lt;/title&gt;" )</f>
        <v>&lt;!doctype html&gt;&lt;html lang=""&gt;  &lt;head&gt;    &lt;meta charset="UTF-8" /&gt;    &lt;meta name="viewport" content="width=device-width, initial-scale=1.0" /&gt;    &lt;title&gt;&lt;/title&gt;</v>
      </c>
    </row>
    <row r="12" customFormat="false" ht="2700" hidden="false" customHeight="false" outlineLevel="0" collapsed="false">
      <c r="A12" s="4" t="s">
        <v>1223</v>
      </c>
      <c r="B12" s="4" t="s">
        <v>1224</v>
      </c>
      <c r="C12" s="4" t="s">
        <v>1224</v>
      </c>
      <c r="D12" s="4" t="s">
        <v>1224</v>
      </c>
      <c r="E12" s="4" t="s">
        <v>1224</v>
      </c>
      <c r="F12" s="4" t="s">
        <v>1224</v>
      </c>
      <c r="G12" s="4" t="s">
        <v>1224</v>
      </c>
      <c r="H12" s="4" t="s">
        <v>1224</v>
      </c>
      <c r="I12" s="4" t="s">
        <v>1224</v>
      </c>
      <c r="J12" s="4" t="s">
        <v>1224</v>
      </c>
      <c r="K12" s="4" t="s">
        <v>1224</v>
      </c>
      <c r="L12" s="4" t="s">
        <v>1224</v>
      </c>
      <c r="M12" s="4" t="s">
        <v>1224</v>
      </c>
      <c r="N12" s="4" t="s">
        <v>1224</v>
      </c>
      <c r="O12" s="4" t="s">
        <v>1224</v>
      </c>
      <c r="P12" s="4" t="s">
        <v>1224</v>
      </c>
      <c r="Q12" s="4" t="s">
        <v>1224</v>
      </c>
      <c r="R12" s="4" t="s">
        <v>1224</v>
      </c>
      <c r="S12" s="4" t="s">
        <v>1224</v>
      </c>
      <c r="T12" s="4" t="s">
        <v>1224</v>
      </c>
      <c r="U12" s="4" t="s">
        <v>1224</v>
      </c>
      <c r="V12" s="4" t="s">
        <v>1224</v>
      </c>
      <c r="W12" s="4" t="s">
        <v>1224</v>
      </c>
      <c r="X12" s="4" t="s">
        <v>1224</v>
      </c>
    </row>
    <row r="13" customFormat="false" ht="292.5" hidden="false" customHeight="false" outlineLevel="0" collapsed="false">
      <c r="A13" s="4" t="s">
        <v>1225</v>
      </c>
      <c r="B13" s="4" t="s">
        <v>1225</v>
      </c>
      <c r="C13" s="4" t="s">
        <v>1225</v>
      </c>
      <c r="D13" s="4" t="s">
        <v>1225</v>
      </c>
      <c r="E13" s="4" t="s">
        <v>1225</v>
      </c>
      <c r="F13" s="4" t="s">
        <v>1225</v>
      </c>
      <c r="G13" s="4" t="s">
        <v>1225</v>
      </c>
      <c r="H13" s="4" t="s">
        <v>1225</v>
      </c>
      <c r="I13" s="4" t="s">
        <v>1225</v>
      </c>
      <c r="J13" s="4" t="s">
        <v>1225</v>
      </c>
      <c r="K13" s="4" t="s">
        <v>1225</v>
      </c>
      <c r="L13" s="4" t="s">
        <v>1225</v>
      </c>
      <c r="M13" s="4" t="s">
        <v>1225</v>
      </c>
      <c r="N13" s="4" t="s">
        <v>1225</v>
      </c>
      <c r="O13" s="4" t="s">
        <v>1225</v>
      </c>
      <c r="P13" s="4" t="s">
        <v>1225</v>
      </c>
      <c r="Q13" s="4" t="s">
        <v>1225</v>
      </c>
      <c r="R13" s="4" t="s">
        <v>1225</v>
      </c>
      <c r="S13" s="4" t="s">
        <v>1225</v>
      </c>
      <c r="T13" s="4" t="s">
        <v>1225</v>
      </c>
      <c r="U13" s="4" t="s">
        <v>1225</v>
      </c>
      <c r="V13" s="4" t="s">
        <v>1225</v>
      </c>
      <c r="W13" s="4" t="s">
        <v>1225</v>
      </c>
      <c r="X13" s="4" t="s">
        <v>1225</v>
      </c>
    </row>
    <row r="14" customFormat="false" ht="773.85" hidden="false" customHeight="false" outlineLevel="0" collapsed="false">
      <c r="A14" s="4" t="s">
        <v>1226</v>
      </c>
      <c r="B14" s="4" t="str">
        <f aca="false">_xlfn.ORG.LIBREOFFICE.REGEX(   A14,   "karmel\.at",   "karmel.at/archiv/" &amp; 'range-0'!E2 )</f>
        <v>      &lt;a href="https://exerzitien-online.karmel.at/archiv/2026_advent/" lang="de" hreflang="de" aria-current="page"&gt;        &lt;span class="language-flag" aria-hidden="true"&gt;🇦🇹🇩🇪&lt;/span&gt;        &lt;span class="language-code"&gt;DE&lt;/span&gt;        &lt;span&gt;Deutsch&lt;/span&gt;&lt;/a&gt;</v>
      </c>
      <c r="C14" s="4" t="str">
        <f aca="false">_xlfn.ORG.LIBREOFFICE.REGEX(   B14,   "karmel\.at",   "karmel.at/archiv/" &amp; 'range-0'!F2 )</f>
        <v>      &lt;a href="https://exerzitien-online.karmel.at/archiv/2026_adviento/archiv/2026_advent/" lang="de" hreflang="de" aria-current="page"&gt;        &lt;span class="language-flag" aria-hidden="true"&gt;🇦🇹🇩🇪&lt;/span&gt;        &lt;span class="language-code"&gt;DE&lt;/span&gt;        &lt;span&gt;Deutsch&lt;/span&gt;&lt;/a&gt;</v>
      </c>
      <c r="D14" s="4" t="str">
        <f aca="false">_xlfn.ORG.LIBREOFFICE.REGEX(   C14,   "karmel\.at",   "karmel.at/archiv/" &amp; 'range-0'!G2 )</f>
        <v>      &lt;a href="https://exerzitien-online.karmel.at/archiv/2026_avvento/archiv/2026_adviento/archiv/2026_advent/" lang="de" hreflang="de" aria-current="page"&gt;        &lt;span class="language-flag" aria-hidden="true"&gt;🇦🇹🇩🇪&lt;/span&gt;        &lt;span class="language-code"&gt;DE&lt;/span&gt;        &lt;span&gt;Deutsch&lt;/span&gt;&lt;/a&gt;</v>
      </c>
      <c r="E14" s="4" t="str">
        <f aca="false">_xlfn.ORG.LIBREOFFICE.REGEX(   D14,   "karmel\.at",   "karmel.at/archiv/" &amp; 'range-0'!H2 )</f>
        <v>      &lt;a href="https://exerzitien-online.karmel.at/archiv/2026_advent/archiv/2026_avvento/archiv/2026_adviento/archiv/2026_advent/" lang="de" hreflang="de" aria-current="page"&gt;        &lt;span class="language-flag" aria-hidden="true"&gt;🇦🇹🇩🇪&lt;/span&gt;        &lt;span class="language-code"&gt;DE&lt;/span&gt;        &lt;span&gt;Deutsch&lt;/span&gt;&lt;/a&gt;</v>
      </c>
      <c r="F14" s="4" t="str">
        <f aca="false">_xlfn.ORG.LIBREOFFICE.REGEX(   E14,   "karmel\.at",   "karmel.at/archiv/" &amp; 'range-0'!I2 )</f>
        <v>      &lt;a href="https://exerzitien-online.karmel.at/archiv/2026_adwent/archiv/2026_advent/archiv/2026_avvento/archiv/2026_adviento/archiv/2026_advent/" lang="de" hreflang="de" aria-current="page"&gt;        &lt;span class="language-flag" aria-hidden="true"&gt;🇦🇹🇩🇪&lt;/span&gt;        &lt;span class="language-code"&gt;DE&lt;/span&gt;        &lt;span&gt;Deutsch&lt;/span&gt;&lt;/a&gt;</v>
      </c>
      <c r="G14" s="4" t="str">
        <f aca="false">_xlfn.ORG.LIBREOFFICE.REGEX(   F14,   "karmel\.at",   "karmel.at/archiv/" &amp; 'range-0'!J2 )</f>
        <v>      &lt;a href="https://exerzitien-online.karmel.at/archiv/2026_zaman-al-maji/archiv/2026_adwent/archiv/2026_advent/archiv/2026_avvento/archiv/2026_adviento/archiv/2026_advent/" lang="de" hreflang="de" aria-current="page"&gt;        &lt;span class="language-flag" aria-hidden="true"&gt;🇦🇹🇩🇪&lt;/span&gt;        &lt;span class="language-code"&gt;DE&lt;/span&gt;        &lt;span&gt;Deutsch&lt;/span&gt;&lt;/a&gt;</v>
      </c>
      <c r="H14" s="4" t="str">
        <f aca="false">_xlfn.ORG.LIBREOFFICE.REGEX(   G14,   "karmel\.at",   "karmel.at/archiv/" &amp; 'range-0'!K2 )</f>
        <v>      &lt;a href="https://exerzitien-online.karmel.at/archiv/2026_advento/archiv/2026_zaman-al-maji/archiv/2026_adwent/archiv/2026_advent/archiv/2026_avvento/archiv/2026_adviento/archiv/2026_advent/"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I14" s="4" t="str">
        <f aca="false">_xlfn.ORG.LIBREOFFICE.REGEX(   H14,   "karmel\.at",   "karmel.at/archiv/" &amp; 'range-0'!L2 )</f>
        <v>      &lt;a href="https://exerzitien-online.karmel.at/archiv/2026_jianglinqi/archiv/2026_advento/archiv/2026_zaman-al-maji/archiv/2026_adwent/archiv/2026_advent/archiv/2026_avvento/archiv/2026_adviento/archiv/2026_advent/"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J14" s="4" t="str">
        <f aca="false">_xlfn.ORG.LIBREOFFICE.REGEX(   I14,   "karmel\.at",   "karmel.at/archiv/" &amp; 'range-0'!M2 )</f>
        <v>      &lt;a href="https://exerzitien-online.karmel.at/archiv/2026_advent/archiv/2026_jianglinqi/archiv/2026_advento/archiv/2026_zaman-al-maji/archiv/2026_adwent/archiv/2026_advent/archiv/2026_avvento/archiv/2026_adviento/archiv/2026_advent/"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K14" s="4" t="str">
        <f aca="false">_xlfn.ORG.LIBREOFFICE.REGEX(   J14,   "karmel\.at",   "karmel.at/archiv/" &amp; 'range-0'!N2 )</f>
        <v>      &lt;a href="https://exerzitien-online.karmel.at/archiv/2026_dosasce/archiv/2026_advent/archiv/2026_jianglinqi/archiv/2026_advento/archiv/2026_zaman-al-maji/archiv/2026_adwent/archiv/2026_advent/archiv/2026_avvento/archiv/2026_adviento/archiv/2026_advent/"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L14" s="4" t="str">
        <f aca="false">_xlfn.ORG.LIBREOFFICE.REGEX(   K14,   "karmel\.at",   "karmel.at/archiv/" &amp; 'range-0'!O2 )</f>
        <v>      &lt;a href="https://exerzitien-online.karmel.at/archiv/2026_advent/archiv/2026_dosasce/archiv/2026_advent/archiv/2026_jianglinqi/archiv/2026_advento/archiv/2026_zaman-al-maji/archiv/2026_adwent/archiv/2026_advent/archiv/2026_avvento/archiv/2026_adviento/archiv/2026_advent/"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M14" s="4" t="str">
        <f aca="false">_xlfn.ORG.LIBREOFFICE.REGEX(   L14,   "karmel\.at",   "karmel.at/archiv/" &amp; 'range-0'!P2 )</f>
        <v>      &lt;a href="https://exerzitien-online.karmel.a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N14" s="4" t="str">
        <f aca="false">_xlfn.ORG.LIBREOFFICE.REGEX(   M14,   "karmel\.at",   "karmel.at/archiv/" &amp; 'range-0'!Q2 )</f>
        <v>      &lt;a href="https://exerzitien-online.karmel.a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O14" s="4" t="str">
        <f aca="false">_xlfn.ORG.LIBREOFFICE.REGEX(   N14,   "karmel\.at",   "karmel.at/archiv/" &amp; 'range-0'!R2 )</f>
        <v>      &lt;a href="https://exerzitien-online.karmel.at/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P14" s="4" t="str">
        <f aca="false">_xlfn.ORG.LIBREOFFICE.REGEX(   O14,   "karmel\.at",   "karmel.at/archiv/" &amp; 'range-0'!S2 )</f>
        <v>      &lt;a href="https://exerzitien-online.karmel.at/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Q14" s="4" t="str">
        <f aca="false">_xlfn.ORG.LIBREOFFICE.REGEX(   P14,   "karmel\.at",   "karmel.at/archiv/" &amp; 'range-0'!T2 )</f>
        <v>      &lt;a href="https://exerzitien-online.karmel.at/archiv/Br.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R14" s="4" t="str">
        <f aca="false">_xlfn.ORG.LIBREOFFICE.REGEX(   Q14,   "karmel\.at",   "karmel.at/archiv/" &amp; 'range-0'!U2 )</f>
        <v>      &lt;a href="https://exerzitien-online.karmel.at/archiv/2026-11-25/archiv/Br.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S14" s="4" t="str">
        <f aca="false">_xlfn.ORG.LIBREOFFICE.REGEX(   R14,   "karmel\.at",   "karmel.at/archiv/" &amp; 'range-0'!V2 )</f>
        <v>      &lt;a href="https://exerzitien-online.karmel.at/archiv/2027-01-03/archiv/2026-11-25/archiv/Br.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T14" s="4" t="str">
        <f aca="false">_xlfn.ORG.LIBREOFFICE.REGEX(   S14,   "karmel\.at",   "karmel.at/archiv/" &amp; 'range-0'!W2 )</f>
        <v>      &lt;a href="https://exerzitien-online.karmel.at/archiv/X:ALLGEMEIN0900 VeröffentlichungenVeröffentlichungen-aktuell2026 Advent/archiv/2027-01-03/archiv/2026-11-25/archiv/Br.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U14" s="4" t="str">
        <f aca="false">_xlfn.ORG.LIBREOFFICE.REGEX(   T14,   "karmel\.at",   "karmel.at/archiv/" &amp; 'range-0'!X2 )</f>
        <v>      &lt;a href="https://exerzitien-online.karmel.at/archiv//archiv/X:ALLGEMEIN0900 VeröffentlichungenVeröffentlichungen-aktuell2026 Advent/archiv/2027-01-03/archiv/2026-11-25/archiv/Br.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V14" s="4" t="str">
        <f aca="false">_xlfn.ORG.LIBREOFFICE.REGEX(   U14,   "karmel\.at",   "karmel.at/archiv/" &amp; 'range-0'!Y2 )</f>
        <v>      &lt;a href="https://exerzitien-online.karmel.at/archiv/Advent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W14" s="4" t="str">
        <f aca="false">_xlfn.ORG.LIBREOFFICE.REGEX(   V14,   "karmel\.at",   "karmel.at/archiv/" &amp; 'range-0'!Z2 )</f>
        <v>      &lt;a href="https://exerzitien-online.karmel.at/archiv//archiv/Advent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c r="X14" s="4" t="str">
        <f aca="false">_xlfn.ORG.LIBREOFFICE.REGEX(   W14,   "karmel\.at",   "karmel.at/archiv/" &amp; 'range-0'!AA2 )</f>
        <v>      &lt;a href="https://exerzitien-online.karmel.at/archiv//archiv//archiv/Advent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archiv/2026_jianglinqi/archiv/2026_advento/archiv/2026_zaman-al-maji/archiv/2026_adwent/archiv/2026_advent/archiv/2026_avvento/archiv/2026_adviento/archiv/2026_advent/" lang="de" hreflang="de" aria-current="page"&gt;        &lt;span class="language-flag" aria-hidden="true"&gt;🇦🇹🇩🇪&lt;/span&gt;        &lt;span class="language-code"&gt;DE&lt;/span&gt;        &lt;span&gt;Deutsch&lt;/span&gt;&lt;/a&gt;</v>
      </c>
    </row>
    <row r="15" customFormat="false" ht="818.65" hidden="false" customHeight="false" outlineLevel="0" collapsed="false">
      <c r="A15" s="4" t="s">
        <v>1227</v>
      </c>
      <c r="B15" s="4" t="str">
        <f aca="false">_xlfn.ORG.LIBREOFFICE.REGEX(   A15,   "karmel\.at",   "karmel.at/archivo/" &amp; 'range-0'!F2 )</f>
        <v>      &lt;a href="https://retiro-online.karmel.at/archivo/2026_adviento/" lang="es" hreflang="es"&gt;        &lt;span class="language-flag" aria-hidden="true"&gt;🇪🇸&lt;/span&gt;        &lt;span class="language-code"&gt;ES&lt;/span&gt;        &lt;span&gt;Español&lt;/span&gt;      &lt;/a&gt;</v>
      </c>
      <c r="C15" s="4" t="str">
        <f aca="false">_xlfn.ORG.LIBREOFFICE.REGEX(   B15,   "karmel\.at",   "karmel.at/archivo/" &amp; 'range-0'!G2 )</f>
        <v>      &lt;a href="https://retiro-online.karmel.at/archivo/2026_avvento/archivo/2026_adviento/" lang="es" hreflang="es"&gt;        &lt;span class="language-flag" aria-hidden="true"&gt;🇪🇸&lt;/span&gt;        &lt;span class="language-code"&gt;ES&lt;/span&gt;        &lt;span&gt;Español&lt;/span&gt;      &lt;/a&gt;</v>
      </c>
      <c r="D15" s="4" t="str">
        <f aca="false">_xlfn.ORG.LIBREOFFICE.REGEX(   C15,   "karmel\.at",   "karmel.at/archivo/" &amp; 'range-0'!H2 )</f>
        <v>      &lt;a href="https://retiro-online.karmel.at/archivo/2026_advent/archivo/2026_avvento/archivo/2026_adviento/" lang="es" hreflang="es"&gt;        &lt;span class="language-flag" aria-hidden="true"&gt;🇪🇸&lt;/span&gt;        &lt;span class="language-code"&gt;ES&lt;/span&gt;        &lt;span&gt;Español&lt;/span&gt;      &lt;/a&gt;</v>
      </c>
      <c r="E15" s="4" t="str">
        <f aca="false">_xlfn.ORG.LIBREOFFICE.REGEX(   D15,   "karmel\.at",   "karmel.at/archivo/" &amp; 'range-0'!I2 )</f>
        <v>      &lt;a href="https://retiro-online.karmel.at/archivo/2026_adwent/archivo/2026_advent/archivo/2026_avvento/archivo/2026_adviento/" lang="es" hreflang="es"&gt;        &lt;span class="language-flag" aria-hidden="true"&gt;🇪🇸&lt;/span&gt;        &lt;span class="language-code"&gt;ES&lt;/span&gt;        &lt;span&gt;Español&lt;/span&gt;      &lt;/a&gt;</v>
      </c>
      <c r="F15" s="4" t="str">
        <f aca="false">_xlfn.ORG.LIBREOFFICE.REGEX(   E15,   "karmel\.at",   "karmel.at/archivo/" &amp; 'range-0'!J2 )</f>
        <v>      &lt;a href="https://retiro-online.karmel.at/archivo/2026_zaman-al-maji/archivo/2026_adwent/archivo/2026_advent/archivo/2026_avvento/archivo/2026_adviento/" lang="es" hreflang="es"&gt;        &lt;span class="language-flag" aria-hidden="true"&gt;🇪🇸&lt;/span&gt;        &lt;span class="language-code"&gt;ES&lt;/span&gt;        &lt;span&gt;Español&lt;/span&gt;      &lt;/a&gt;</v>
      </c>
      <c r="G15" s="4" t="str">
        <f aca="false">_xlfn.ORG.LIBREOFFICE.REGEX(   F15,   "karmel\.at",   "karmel.at/archivo/" &amp; 'range-0'!K2 )</f>
        <v>      &lt;a href="https://retiro-online.karmel.at/archivo/2026_advento/archivo/2026_zaman-al-maji/archivo/2026_adwent/archivo/2026_advent/archivo/2026_avvento/archivo/2026_adviento/" lang="es" hreflang="es"&gt;        &lt;span class="language-flag" aria-hidden="true"&gt;🇪🇸&lt;/span&gt;        &lt;span class="language-code"&gt;ES&lt;/span&gt;        &lt;span&gt;Español&lt;/span&gt;      &lt;/a&gt;</v>
      </c>
      <c r="H15" s="4" t="str">
        <f aca="false">_xlfn.ORG.LIBREOFFICE.REGEX(   G15,   "karmel\.at",   "karmel.at/archivo/" &amp; 'range-0'!L2 )</f>
        <v>      &lt;a href="https://retiro-online.karmel.at/archivo/2026_jianglinqi/archivo/2026_advento/archivo/2026_zaman-al-maji/archivo/2026_adwent/archivo/2026_advent/archivo/2026_avvento/archivo/2026_adviento/"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I15" s="4" t="str">
        <f aca="false">_xlfn.ORG.LIBREOFFICE.REGEX(   H15,   "karmel\.at",   "karmel.at/archivo/" &amp; 'range-0'!M2 )</f>
        <v>      &lt;a href="https://retiro-online.karmel.at/archivo/2026_advent/archivo/2026_jianglinqi/archivo/2026_advento/archivo/2026_zaman-al-maji/archivo/2026_adwent/archivo/2026_advent/archivo/2026_avvento/archivo/2026_adviento/"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J15" s="4" t="str">
        <f aca="false">_xlfn.ORG.LIBREOFFICE.REGEX(   I15,   "karmel\.at",   "karmel.at/archivo/" &amp; 'range-0'!N2 )</f>
        <v>      &lt;a href="https://retiro-online.karmel.at/archivo/2026_dosasce/archivo/2026_advent/archivo/2026_jianglinqi/archivo/2026_advento/archivo/2026_zaman-al-maji/archivo/2026_adwent/archivo/2026_advent/archivo/2026_avvento/archivo/2026_adviento/"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K15" s="4" t="str">
        <f aca="false">_xlfn.ORG.LIBREOFFICE.REGEX(   J15,   "karmel\.at",   "karmel.at/archivo/" &amp; 'range-0'!O2 )</f>
        <v>      &lt;a href="https://retiro-online.karmel.at/archivo/2026_advent/archivo/2026_dosasce/archivo/2026_advent/archivo/2026_jianglinqi/archivo/2026_advento/archivo/2026_zaman-al-maji/archivo/2026_adwent/archivo/2026_advent/archivo/2026_avvento/archivo/2026_adviento/"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L15" s="4" t="str">
        <f aca="false">_xlfn.ORG.LIBREOFFICE.REGEX(   K15,   "karmel\.at",   "karmel.at/archivo/" &amp; 'range-0'!P2 )</f>
        <v>      &lt;a href="https://retiro-online.karmel.at/archivo/2026_avvent/archivo/2026_advent/archivo/2026_dosasce/archivo/2026_advent/archivo/2026_jianglinqi/archivo/2026_advento/archivo/2026_zaman-al-maji/archivo/2026_adwent/archivo/2026_advent/archivo/2026_avvento/archivo/2026_adviento/"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M15" s="4" t="str">
        <f aca="false">_xlfn.ORG.LIBREOFFICE.REGEX(   L15,   "karmel\.at",   "karmel.at/archivo/" &amp; 'range-0'!Q2 )</f>
        <v>      &lt;a href="https://retiro-online.karmel.a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N15" s="4" t="str">
        <f aca="false">_xlfn.ORG.LIBREOFFICE.REGEX(   M15,   "karmel\.at",   "karmel.at/archivo/" &amp; 'range-0'!R2 )</f>
        <v>      &lt;a href="https://retiro-online.karmel.at/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O15" s="4" t="str">
        <f aca="false">_xlfn.ORG.LIBREOFFICE.REGEX(   N15,   "karmel\.at",   "karmel.at/archivo/" &amp; 'range-0'!S2 )</f>
        <v>      &lt;a href="https://retiro-online.karmel.at/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P15" s="4" t="str">
        <f aca="false">_xlfn.ORG.LIBREOFFICE.REGEX(   O15,   "karmel\.at",   "karmel.at/archivo/" &amp; 'range-0'!T2 )</f>
        <v>      &lt;a href="https://retiro-online.karmel.at/archivo/Br.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Q15" s="4" t="str">
        <f aca="false">_xlfn.ORG.LIBREOFFICE.REGEX(   P15,   "karmel\.at",   "karmel.at/archivo/" &amp; 'range-0'!U2 )</f>
        <v>      &lt;a href="https://retiro-online.karmel.at/archivo/2026-11-25/archivo/Br.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R15" s="4" t="str">
        <f aca="false">_xlfn.ORG.LIBREOFFICE.REGEX(   Q15,   "karmel\.at",   "karmel.at/archivo/" &amp; 'range-0'!V2 )</f>
        <v>      &lt;a href="https://retiro-online.karmel.at/archivo/2027-01-03/archivo/2026-11-25/archivo/Br.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S15" s="4" t="str">
        <f aca="false">_xlfn.ORG.LIBREOFFICE.REGEX(   R15,   "karmel\.at",   "karmel.at/archivo/" &amp; 'range-0'!W2 )</f>
        <v>      &lt;a href="https://retiro-online.karmel.at/archivo/X:ALLGEMEIN0900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T15" s="4" t="str">
        <f aca="false">_xlfn.ORG.LIBREOFFICE.REGEX(   S15,   "karmel\.at",   "karmel.at/archivo/" &amp; 'range-0'!X2 )</f>
        <v>      &lt;a href="https://retiro-online.karmel.at/archivo//archivo/X:ALLGEMEIN0900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U15" s="4" t="str">
        <f aca="false">_xlfn.ORG.LIBREOFFICE.REGEX(   T15,   "karmel\.at",   "karmel.at/archivo/" &amp; 'range-0'!Y2 )</f>
        <v>      &lt;a href="https://retiro-online.karmel.at/archivo/Advent 2026 mit Bruder Lorenz von der Auferstehung/archivo//archivo/X:ALLGEMEIN0900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V15" s="4" t="str">
        <f aca="false">_xlfn.ORG.LIBREOFFICE.REGEX(   U15,   "karmel\.at",   "karmel.at/archivo/" &amp; 'range-0'!Z2 )</f>
        <v>      &lt;a href="https://retiro-online.karmel.at/archivo//archivo/Advent 2026 mit Bruder Lorenz von der Auferstehung/archivo//archivo/X:ALLGEMEIN0900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W15" s="4" t="str">
        <f aca="false">_xlfn.ORG.LIBREOFFICE.REGEX(   V15,   "karmel\.at",   "karmel.at/archivo/" &amp; 'range-0'!AA2 )</f>
        <v>      &lt;a href="https://retiro-online.karmel.at/archivo//archivo//archivo/Advent 2026 mit Bruder Lorenz von der Auferstehung/archivo//archivo/X:ALLGEMEIN0900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c r="X15" s="4" t="str">
        <f aca="false">_xlfn.ORG.LIBREOFFICE.REGEX(   W15,   "karmel\.at",   "karmel.at/archivo/" &amp; 'range-0'!AB2 )</f>
        <v>      &lt;a href="https://retiro-online.karmel.at/archivo/Advent 2026 with Brother Lawrence of the Resurrection/archivo//archivo//archivo/Advent 2026 mit Bruder Lorenz von der Auferstehung/archivo//archivo/X:ALLGEMEIN0900 VeröffentlichungenVeröffentlichungen-aktuell2026 Advent/archivo/2027-01-03/archivo/2026-11-25/archivo/Br. Lorenz von der Auferstehung/archivo/2026_mua-vong/archivo/2026_advent/archivo/2026_advent/archivo/2026_avvent/archivo/2026_advent/archivo/2026_dosasce/archivo/2026_advent/archivo/2026_jianglinqi/archivo/2026_advento/archivo/2026_zaman-al-maji/archivo/2026_adwent/archivo/2026_advent/archivo/2026_avvento/archivo/2026_adviento/" lang="es" hreflang="es"&gt;        &lt;span class="language-flag" aria-hidden="true"&gt;🇪🇸&lt;/span&gt;        &lt;span class="language-code"&gt;ES&lt;/span&gt;        &lt;span&gt;Español&lt;/span&gt;      &lt;/a&gt;</v>
      </c>
    </row>
    <row r="16" customFormat="false" ht="807.45" hidden="false" customHeight="false" outlineLevel="0" collapsed="false">
      <c r="A16" s="4" t="s">
        <v>1228</v>
      </c>
      <c r="B16" s="4" t="str">
        <f aca="false">_xlfn.ORG.LIBREOFFICE.REGEX(   A16,   "karmel\.at",   "karmel.at/archivio/" &amp; 'range-0'!G2 )</f>
        <v>      &lt;a href="https://esercizi-online.karmel.at/archivio/2026_avvento/" lang="it" hreflang="it"&gt;        &lt;span class="language-flag" aria-hidden="true"&gt;🇮🇹&lt;/span&gt;        &lt;span class="language-code"&gt;IT&lt;/span&gt;        &lt;span&gt;Italiano&lt;/span&gt;      &lt;/a&gt;</v>
      </c>
      <c r="C16" s="4" t="str">
        <f aca="false">_xlfn.ORG.LIBREOFFICE.REGEX(   B16,   "karmel\.at",   "karmel.at/archivio/" &amp; 'range-0'!H2 )</f>
        <v>      &lt;a href="https://esercizi-online.karmel.at/archivio/2026_advent/archivio/2026_avvento/" lang="it" hreflang="it"&gt;        &lt;span class="language-flag" aria-hidden="true"&gt;🇮🇹&lt;/span&gt;        &lt;span class="language-code"&gt;IT&lt;/span&gt;        &lt;span&gt;Italiano&lt;/span&gt;      &lt;/a&gt;</v>
      </c>
      <c r="D16" s="4" t="str">
        <f aca="false">_xlfn.ORG.LIBREOFFICE.REGEX(   C16,   "karmel\.at",   "karmel.at/archivio/" &amp; 'range-0'!I2 )</f>
        <v>      &lt;a href="https://esercizi-online.karmel.at/archivio/2026_adwent/archivio/2026_advent/archivio/2026_avvento/" lang="it" hreflang="it"&gt;        &lt;span class="language-flag" aria-hidden="true"&gt;🇮🇹&lt;/span&gt;        &lt;span class="language-code"&gt;IT&lt;/span&gt;        &lt;span&gt;Italiano&lt;/span&gt;      &lt;/a&gt;</v>
      </c>
      <c r="E16" s="4" t="str">
        <f aca="false">_xlfn.ORG.LIBREOFFICE.REGEX(   D16,   "karmel\.at",   "karmel.at/archivio/" &amp; 'range-0'!J2 )</f>
        <v>      &lt;a href="https://esercizi-online.karmel.at/archivio/2026_zaman-al-maji/archivio/2026_adwent/archivio/2026_advent/archivio/2026_avvento/" lang="it" hreflang="it"&gt;        &lt;span class="language-flag" aria-hidden="true"&gt;🇮🇹&lt;/span&gt;        &lt;span class="language-code"&gt;IT&lt;/span&gt;        &lt;span&gt;Italiano&lt;/span&gt;      &lt;/a&gt;</v>
      </c>
      <c r="F16" s="4" t="str">
        <f aca="false">_xlfn.ORG.LIBREOFFICE.REGEX(   E16,   "karmel\.at",   "karmel.at/archivio/" &amp; 'range-0'!K2 )</f>
        <v>      &lt;a href="https://esercizi-online.karmel.at/archivio/2026_advento/archivio/2026_zaman-al-maji/archivio/2026_adwent/archivio/2026_advent/archivio/2026_avvento/" lang="it" hreflang="it"&gt;        &lt;span class="language-flag" aria-hidden="true"&gt;🇮🇹&lt;/span&gt;        &lt;span class="language-code"&gt;IT&lt;/span&gt;        &lt;span&gt;Italiano&lt;/span&gt;      &lt;/a&gt;</v>
      </c>
      <c r="G16" s="4" t="str">
        <f aca="false">_xlfn.ORG.LIBREOFFICE.REGEX(   F16,   "karmel\.at",   "karmel.at/archivio/" &amp; 'range-0'!L2 )</f>
        <v>      &lt;a href="https://esercizi-online.karmel.at/archivio/2026_jianglinqi/archivio/2026_advento/archivio/2026_zaman-al-maji/archivio/2026_adwent/archivio/2026_advent/archivio/2026_avvento/" lang="it" hreflang="it"&gt;        &lt;span class="language-flag" aria-hidden="true"&gt;🇮🇹&lt;/span&gt;        &lt;span class="language-code"&gt;IT&lt;/span&gt;        &lt;span&gt;Italiano&lt;/span&gt;      &lt;/a&gt;</v>
      </c>
      <c r="H16" s="4" t="str">
        <f aca="false">_xlfn.ORG.LIBREOFFICE.REGEX(   G16,   "karmel\.at",   "karmel.at/archivio/" &amp; 'range-0'!M2 )</f>
        <v>      &lt;a href="https://esercizi-online.karmel.at/archivio/2026_advent/archivio/2026_jianglinqi/archivio/2026_advento/archivio/2026_zaman-al-maji/archivio/2026_adwent/archivio/2026_advent/archivio/2026_avvento/"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I16" s="4" t="str">
        <f aca="false">_xlfn.ORG.LIBREOFFICE.REGEX(   H16,   "karmel\.at",   "karmel.at/archivio/" &amp; 'range-0'!N2 )</f>
        <v>      &lt;a href="https://esercizi-online.karmel.at/archivio/2026_dosasce/archivio/2026_advent/archivio/2026_jianglinqi/archivio/2026_advento/archivio/2026_zaman-al-maji/archivio/2026_adwent/archivio/2026_advent/archivio/2026_avvento/"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J16" s="4" t="str">
        <f aca="false">_xlfn.ORG.LIBREOFFICE.REGEX(   I16,   "karmel\.at",   "karmel.at/archivio/" &amp; 'range-0'!O2 )</f>
        <v>      &lt;a href="https://esercizi-online.karmel.at/archivio/2026_advent/archivio/2026_dosasce/archivio/2026_advent/archivio/2026_jianglinqi/archivio/2026_advento/archivio/2026_zaman-al-maji/archivio/2026_adwent/archivio/2026_advent/archivio/2026_avvento/"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K16" s="4" t="str">
        <f aca="false">_xlfn.ORG.LIBREOFFICE.REGEX(   J16,   "karmel\.at",   "karmel.at/archivio/" &amp; 'range-0'!P2 )</f>
        <v>      &lt;a href="https://esercizi-online.karmel.at/archivio/2026_avvent/archivio/2026_advent/archivio/2026_dosasce/archivio/2026_advent/archivio/2026_jianglinqi/archivio/2026_advento/archivio/2026_zaman-al-maji/archivio/2026_adwent/archivio/2026_advent/archivio/2026_avvento/"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L16" s="4" t="str">
        <f aca="false">_xlfn.ORG.LIBREOFFICE.REGEX(   K16,   "karmel\.at",   "karmel.at/archivio/" &amp; 'range-0'!Q2 )</f>
        <v>      &lt;a href="https://esercizi-online.karmel.a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M16" s="4" t="str">
        <f aca="false">_xlfn.ORG.LIBREOFFICE.REGEX(   L16,   "karmel\.at",   "karmel.at/archivio/" &amp; 'range-0'!R2 )</f>
        <v>      &lt;a href="https://esercizi-online.karmel.at/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N16" s="4" t="str">
        <f aca="false">_xlfn.ORG.LIBREOFFICE.REGEX(   M16,   "karmel\.at",   "karmel.at/archivio/" &amp; 'range-0'!S2 )</f>
        <v>      &lt;a href="https://esercizi-online.karmel.at/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O16" s="4" t="str">
        <f aca="false">_xlfn.ORG.LIBREOFFICE.REGEX(   N16,   "karmel\.at",   "karmel.at/archivio/" &amp; 'range-0'!T2 )</f>
        <v>      &lt;a href="https://esercizi-online.karmel.at/archivio/Br.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P16" s="4" t="str">
        <f aca="false">_xlfn.ORG.LIBREOFFICE.REGEX(   O16,   "karmel\.at",   "karmel.at/archivio/" &amp; 'range-0'!U2 )</f>
        <v>      &lt;a href="https://esercizi-online.karmel.at/archivio/2026-11-25/archivio/Br.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Q16" s="4" t="str">
        <f aca="false">_xlfn.ORG.LIBREOFFICE.REGEX(   P16,   "karmel\.at",   "karmel.at/archivio/" &amp; 'range-0'!V2 )</f>
        <v>      &lt;a href="https://esercizi-online.karmel.at/archivio/2027-01-03/archivio/2026-11-25/archivio/Br.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R16" s="4" t="str">
        <f aca="false">_xlfn.ORG.LIBREOFFICE.REGEX(   Q16,   "karmel\.at",   "karmel.at/archivio/" &amp; 'range-0'!W2 )</f>
        <v>      &lt;a href="https://esercizi-online.karmel.at/archivio/X:ALLGEMEIN0900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S16" s="4" t="str">
        <f aca="false">_xlfn.ORG.LIBREOFFICE.REGEX(   R16,   "karmel\.at",   "karmel.at/archivio/" &amp; 'range-0'!X2 )</f>
        <v>      &lt;a href="https://esercizi-online.karmel.at/archivio//archivio/X:ALLGEMEIN0900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T16" s="4" t="str">
        <f aca="false">_xlfn.ORG.LIBREOFFICE.REGEX(   S16,   "karmel\.at",   "karmel.at/archivio/" &amp; 'range-0'!Y2 )</f>
        <v>      &lt;a href="https://esercizi-online.karmel.at/archivio/Advent 2026 mit Bruder Lorenz von der Auferstehung/archivio//archivio/X:ALLGEMEIN0900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U16" s="4" t="str">
        <f aca="false">_xlfn.ORG.LIBREOFFICE.REGEX(   T16,   "karmel\.at",   "karmel.at/archivio/" &amp; 'range-0'!Z2 )</f>
        <v>      &lt;a href="https://esercizi-online.karmel.at/archivio//archivio/Advent 2026 mit Bruder Lorenz von der Auferstehung/archivio//archivio/X:ALLGEMEIN0900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V16" s="4" t="str">
        <f aca="false">_xlfn.ORG.LIBREOFFICE.REGEX(   U16,   "karmel\.at",   "karmel.at/archivio/" &amp; 'range-0'!AA2 )</f>
        <v>      &lt;a href="https://esercizi-online.karmel.at/archivio//archivio//archivio/Advent 2026 mit Bruder Lorenz von der Auferstehung/archivio//archivio/X:ALLGEMEIN0900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W16" s="4" t="str">
        <f aca="false">_xlfn.ORG.LIBREOFFICE.REGEX(   V16,   "karmel\.at",   "karmel.at/archivio/" &amp; 'range-0'!AB2 )</f>
        <v>      &lt;a href="https://esercizi-online.karmel.at/archivio/Advent 2026 with Brother Lawrence of the Resurrection/archivio//archivio//archivio/Advent 2026 mit Bruder Lorenz von der Auferstehung/archivio//archivio/X:ALLGEMEIN0900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c r="X16" s="4" t="str">
        <f aca="false">_xlfn.ORG.LIBREOFFICE.REGEX(   W16,   "karmel\.at",   "karmel.at/archivio/" &amp; 'range-0'!AC2 )</f>
        <v>      &lt;a href="https://esercizi-online.karmel.at/archivio//archivio/Advent 2026 with Brother Lawrence of the Resurrection/archivio//archivio//archivio/Advent 2026 mit Bruder Lorenz von der Auferstehung/archivio//archivio/X:ALLGEMEIN0900 VeröffentlichungenVeröffentlichungen-aktuell2026 Advent/archivio/2027-01-03/archivio/2026-11-25/archivio/Br. Lorenz von der Auferstehung/archivio/2026_mua-vong/archivio/2026_advent/archivio/2026_advent/archivio/2026_avvent/archivio/2026_advent/archivio/2026_dosasce/archivio/2026_advent/archivio/2026_jianglinqi/archivio/2026_advento/archivio/2026_zaman-al-maji/archivio/2026_adwent/archivio/2026_advent/archivio/2026_avvento/" lang="it" hreflang="it"&gt;        &lt;span class="language-flag" aria-hidden="true"&gt;🇮🇹&lt;/span&gt;        &lt;span class="language-code"&gt;IT&lt;/span&gt;        &lt;span&gt;Italiano&lt;/span&gt;      &lt;/a&gt;</v>
      </c>
    </row>
    <row r="17" customFormat="false" ht="258.95" hidden="false" customHeight="false" outlineLevel="0" collapsed="false">
      <c r="A17" s="4" t="s">
        <v>1229</v>
      </c>
      <c r="B17" s="4" t="str">
        <f aca="false">_xlfn.ORG.LIBREOFFICE.REGEX(   A17,   "karmel\.at",   "karmel.at/archive/" &amp; 'range-0'!H2 )</f>
        <v>      &lt;a href="" lang="en" hreflang="en"&gt;        &lt;span class="language-flag" aria-hidden="true"&gt;🇬🇧🇺🇸&lt;/span&gt;        &lt;span class="language-code"&gt;EN&lt;/span&gt;        &lt;span&gt;English&lt;/span&gt;  &lt;span class="language-check" aria-hidden="true"&gt;✓&lt;/span&gt;    &lt;/a&gt;</v>
      </c>
      <c r="C17" s="4" t="str">
        <f aca="false">_xlfn.ORG.LIBREOFFICE.REGEX(   B17,   "karmel\.at",   "karmel.at/archive/" &amp; 'range-0'!I2 )</f>
        <v>      &lt;a href="" lang="en" hreflang="en"&gt;        &lt;span class="language-flag" aria-hidden="true"&gt;🇬🇧🇺🇸&lt;/span&gt;        &lt;span class="language-code"&gt;EN&lt;/span&gt;        &lt;span&gt;English&lt;/span&gt;  &lt;span class="language-check" aria-hidden="true"&gt;✓&lt;/span&gt;    &lt;/a&gt;</v>
      </c>
      <c r="D17" s="4" t="str">
        <f aca="false">_xlfn.ORG.LIBREOFFICE.REGEX(   C17,   "karmel\.at",   "karmel.at/archive/" &amp; 'range-0'!J2 )</f>
        <v>      &lt;a href="" lang="en" hreflang="en"&gt;        &lt;span class="language-flag" aria-hidden="true"&gt;🇬🇧🇺🇸&lt;/span&gt;        &lt;span class="language-code"&gt;EN&lt;/span&gt;        &lt;span&gt;English&lt;/span&gt;  &lt;span class="language-check" aria-hidden="true"&gt;✓&lt;/span&gt;    &lt;/a&gt;</v>
      </c>
      <c r="E17" s="4" t="str">
        <f aca="false">_xlfn.ORG.LIBREOFFICE.REGEX(   D17,   "karmel\.at",   "karmel.at/archive/" &amp; 'range-0'!K2 )</f>
        <v>      &lt;a href="" lang="en" hreflang="en"&gt;        &lt;span class="language-flag" aria-hidden="true"&gt;🇬🇧🇺🇸&lt;/span&gt;        &lt;span class="language-code"&gt;EN&lt;/span&gt;        &lt;span&gt;English&lt;/span&gt;  &lt;span class="language-check" aria-hidden="true"&gt;✓&lt;/span&gt;    &lt;/a&gt;</v>
      </c>
      <c r="F17" s="4" t="str">
        <f aca="false">_xlfn.ORG.LIBREOFFICE.REGEX(   E17,   "karmel\.at",   "karmel.at/archive/" &amp; 'range-0'!L2 )</f>
        <v>      &lt;a href="" lang="en" hreflang="en"&gt;        &lt;span class="language-flag" aria-hidden="true"&gt;🇬🇧🇺🇸&lt;/span&gt;        &lt;span class="language-code"&gt;EN&lt;/span&gt;        &lt;span&gt;English&lt;/span&gt;  &lt;span class="language-check" aria-hidden="true"&gt;✓&lt;/span&gt;    &lt;/a&gt;</v>
      </c>
      <c r="G17" s="4" t="str">
        <f aca="false">_xlfn.ORG.LIBREOFFICE.REGEX(   F17,   "karmel\.at",   "karmel.at/archive/" &amp; 'range-0'!M2 )</f>
        <v>      &lt;a href="" lang="en" hreflang="en"&gt;        &lt;span class="language-flag" aria-hidden="true"&gt;🇬🇧🇺🇸&lt;/span&gt;        &lt;span class="language-code"&gt;EN&lt;/span&gt;        &lt;span&gt;English&lt;/span&gt;  &lt;span class="language-check" aria-hidden="true"&gt;✓&lt;/span&gt;    &lt;/a&gt;</v>
      </c>
      <c r="H17" s="4" t="str">
        <f aca="false">_xlfn.ORG.LIBREOFFICE.REGEX(   G17,   "karmel\.at",   "karmel.at/archive/" &amp; 'range-0'!N2 )</f>
        <v>      &lt;a href="" lang="en" hreflang="en"&gt;        &lt;span class="language-flag" aria-hidden="true"&gt;🇬🇧🇺🇸&lt;/span&gt;        &lt;span class="language-code"&gt;EN&lt;/span&gt;        &lt;span&gt;English&lt;/span&gt;  &lt;span class="language-check" aria-hidden="true"&gt;✓&lt;/span&gt;    &lt;/a&gt;</v>
      </c>
      <c r="I17" s="4" t="str">
        <f aca="false">_xlfn.ORG.LIBREOFFICE.REGEX(   H17,   "karmel\.at",   "karmel.at/archive/" &amp; 'range-0'!O2 )</f>
        <v>      &lt;a href="" lang="en" hreflang="en"&gt;        &lt;span class="language-flag" aria-hidden="true"&gt;🇬🇧🇺🇸&lt;/span&gt;        &lt;span class="language-code"&gt;EN&lt;/span&gt;        &lt;span&gt;English&lt;/span&gt;  &lt;span class="language-check" aria-hidden="true"&gt;✓&lt;/span&gt;    &lt;/a&gt;</v>
      </c>
      <c r="J17" s="4" t="str">
        <f aca="false">_xlfn.ORG.LIBREOFFICE.REGEX(   I17,   "karmel\.at",   "karmel.at/archive/" &amp; 'range-0'!P2 )</f>
        <v>      &lt;a href="" lang="en" hreflang="en"&gt;        &lt;span class="language-flag" aria-hidden="true"&gt;🇬🇧🇺🇸&lt;/span&gt;        &lt;span class="language-code"&gt;EN&lt;/span&gt;        &lt;span&gt;English&lt;/span&gt;  &lt;span class="language-check" aria-hidden="true"&gt;✓&lt;/span&gt;    &lt;/a&gt;</v>
      </c>
      <c r="K17" s="4" t="str">
        <f aca="false">_xlfn.ORG.LIBREOFFICE.REGEX(   J17,   "karmel\.at",   "karmel.at/archive/" &amp; 'range-0'!Q2 )</f>
        <v>      &lt;a href="" lang="en" hreflang="en"&gt;        &lt;span class="language-flag" aria-hidden="true"&gt;🇬🇧🇺🇸&lt;/span&gt;        &lt;span class="language-code"&gt;EN&lt;/span&gt;        &lt;span&gt;English&lt;/span&gt;  &lt;span class="language-check" aria-hidden="true"&gt;✓&lt;/span&gt;    &lt;/a&gt;</v>
      </c>
      <c r="L17" s="4" t="str">
        <f aca="false">_xlfn.ORG.LIBREOFFICE.REGEX(   K17,   "karmel\.at",   "karmel.at/archive/" &amp; 'range-0'!R2 )</f>
        <v>      &lt;a href="" lang="en" hreflang="en"&gt;        &lt;span class="language-flag" aria-hidden="true"&gt;🇬🇧🇺🇸&lt;/span&gt;        &lt;span class="language-code"&gt;EN&lt;/span&gt;        &lt;span&gt;English&lt;/span&gt;  &lt;span class="language-check" aria-hidden="true"&gt;✓&lt;/span&gt;    &lt;/a&gt;</v>
      </c>
      <c r="M17" s="4" t="str">
        <f aca="false">_xlfn.ORG.LIBREOFFICE.REGEX(   L17,   "karmel\.at",   "karmel.at/archive/" &amp; 'range-0'!S2 )</f>
        <v>      &lt;a href="" lang="en" hreflang="en"&gt;        &lt;span class="language-flag" aria-hidden="true"&gt;🇬🇧🇺🇸&lt;/span&gt;        &lt;span class="language-code"&gt;EN&lt;/span&gt;        &lt;span&gt;English&lt;/span&gt;  &lt;span class="language-check" aria-hidden="true"&gt;✓&lt;/span&gt;    &lt;/a&gt;</v>
      </c>
      <c r="N17" s="4" t="str">
        <f aca="false">_xlfn.ORG.LIBREOFFICE.REGEX(   M17,   "karmel\.at",   "karmel.at/archive/" &amp; 'range-0'!T2 )</f>
        <v>      &lt;a href="" lang="en" hreflang="en"&gt;        &lt;span class="language-flag" aria-hidden="true"&gt;🇬🇧🇺🇸&lt;/span&gt;        &lt;span class="language-code"&gt;EN&lt;/span&gt;        &lt;span&gt;English&lt;/span&gt;  &lt;span class="language-check" aria-hidden="true"&gt;✓&lt;/span&gt;    &lt;/a&gt;</v>
      </c>
      <c r="O17" s="4" t="str">
        <f aca="false">_xlfn.ORG.LIBREOFFICE.REGEX(   N17,   "karmel\.at",   "karmel.at/archive/" &amp; 'range-0'!U2 )</f>
        <v>      &lt;a href="" lang="en" hreflang="en"&gt;        &lt;span class="language-flag" aria-hidden="true"&gt;🇬🇧🇺🇸&lt;/span&gt;        &lt;span class="language-code"&gt;EN&lt;/span&gt;        &lt;span&gt;English&lt;/span&gt;  &lt;span class="language-check" aria-hidden="true"&gt;✓&lt;/span&gt;    &lt;/a&gt;</v>
      </c>
      <c r="P17" s="4" t="str">
        <f aca="false">_xlfn.ORG.LIBREOFFICE.REGEX(   O17,   "karmel\.at",   "karmel.at/archive/" &amp; 'range-0'!V2 )</f>
        <v>      &lt;a href="" lang="en" hreflang="en"&gt;        &lt;span class="language-flag" aria-hidden="true"&gt;🇬🇧🇺🇸&lt;/span&gt;        &lt;span class="language-code"&gt;EN&lt;/span&gt;        &lt;span&gt;English&lt;/span&gt;  &lt;span class="language-check" aria-hidden="true"&gt;✓&lt;/span&gt;    &lt;/a&gt;</v>
      </c>
      <c r="Q17" s="4" t="str">
        <f aca="false">_xlfn.ORG.LIBREOFFICE.REGEX(   P17,   "karmel\.at",   "karmel.at/archive/" &amp; 'range-0'!W2 )</f>
        <v>      &lt;a href="" lang="en" hreflang="en"&gt;        &lt;span class="language-flag" aria-hidden="true"&gt;🇬🇧🇺🇸&lt;/span&gt;        &lt;span class="language-code"&gt;EN&lt;/span&gt;        &lt;span&gt;English&lt;/span&gt;  &lt;span class="language-check" aria-hidden="true"&gt;✓&lt;/span&gt;    &lt;/a&gt;</v>
      </c>
      <c r="R17" s="4" t="str">
        <f aca="false">_xlfn.ORG.LIBREOFFICE.REGEX(   Q17,   "karmel\.at",   "karmel.at/archive/" &amp; 'range-0'!X2 )</f>
        <v>      &lt;a href="" lang="en" hreflang="en"&gt;        &lt;span class="language-flag" aria-hidden="true"&gt;🇬🇧🇺🇸&lt;/span&gt;        &lt;span class="language-code"&gt;EN&lt;/span&gt;        &lt;span&gt;English&lt;/span&gt;  &lt;span class="language-check" aria-hidden="true"&gt;✓&lt;/span&gt;    &lt;/a&gt;</v>
      </c>
      <c r="S17" s="4" t="str">
        <f aca="false">_xlfn.ORG.LIBREOFFICE.REGEX(   R17,   "karmel\.at",   "karmel.at/archive/" &amp; 'range-0'!Y2 )</f>
        <v>      &lt;a href="" lang="en" hreflang="en"&gt;        &lt;span class="language-flag" aria-hidden="true"&gt;🇬🇧🇺🇸&lt;/span&gt;        &lt;span class="language-code"&gt;EN&lt;/span&gt;        &lt;span&gt;English&lt;/span&gt;  &lt;span class="language-check" aria-hidden="true"&gt;✓&lt;/span&gt;    &lt;/a&gt;</v>
      </c>
      <c r="T17" s="4" t="str">
        <f aca="false">_xlfn.ORG.LIBREOFFICE.REGEX(   S17,   "karmel\.at",   "karmel.at/archive/" &amp; 'range-0'!Z2 )</f>
        <v>      &lt;a href="" lang="en" hreflang="en"&gt;        &lt;span class="language-flag" aria-hidden="true"&gt;🇬🇧🇺🇸&lt;/span&gt;        &lt;span class="language-code"&gt;EN&lt;/span&gt;        &lt;span&gt;English&lt;/span&gt;  &lt;span class="language-check" aria-hidden="true"&gt;✓&lt;/span&gt;    &lt;/a&gt;</v>
      </c>
      <c r="U17" s="4" t="str">
        <f aca="false">_xlfn.ORG.LIBREOFFICE.REGEX(   T17,   "karmel\.at",   "karmel.at/archive/" &amp; 'range-0'!AA2 )</f>
        <v>      &lt;a href="" lang="en" hreflang="en"&gt;        &lt;span class="language-flag" aria-hidden="true"&gt;🇬🇧🇺🇸&lt;/span&gt;        &lt;span class="language-code"&gt;EN&lt;/span&gt;        &lt;span&gt;English&lt;/span&gt;  &lt;span class="language-check" aria-hidden="true"&gt;✓&lt;/span&gt;    &lt;/a&gt;</v>
      </c>
      <c r="V17" s="4" t="str">
        <f aca="false">_xlfn.ORG.LIBREOFFICE.REGEX(   U17,   "karmel\.at",   "karmel.at/archive/" &amp; 'range-0'!AB2 )</f>
        <v>      &lt;a href="" lang="en" hreflang="en"&gt;        &lt;span class="language-flag" aria-hidden="true"&gt;🇬🇧🇺🇸&lt;/span&gt;        &lt;span class="language-code"&gt;EN&lt;/span&gt;        &lt;span&gt;English&lt;/span&gt;  &lt;span class="language-check" aria-hidden="true"&gt;✓&lt;/span&gt;    &lt;/a&gt;</v>
      </c>
      <c r="W17" s="4" t="str">
        <f aca="false">_xlfn.ORG.LIBREOFFICE.REGEX(   V17,   "karmel\.at",   "karmel.at/archive/" &amp; 'range-0'!AC2 )</f>
        <v>      &lt;a href="" lang="en" hreflang="en"&gt;        &lt;span class="language-flag" aria-hidden="true"&gt;🇬🇧🇺🇸&lt;/span&gt;        &lt;span class="language-code"&gt;EN&lt;/span&gt;        &lt;span&gt;English&lt;/span&gt;  &lt;span class="language-check" aria-hidden="true"&gt;✓&lt;/span&gt;    &lt;/a&gt;</v>
      </c>
      <c r="X17" s="4" t="str">
        <f aca="false">_xlfn.ORG.LIBREOFFICE.REGEX(   W17,   "karmel\.at",   "karmel.at/archive/" &amp; 'range-0'!AD2 )</f>
        <v>      &lt;a href="" lang="en" hreflang="en"&gt;        &lt;span class="language-flag" aria-hidden="true"&gt;🇬🇧🇺🇸&lt;/span&gt;        &lt;span class="language-code"&gt;EN&lt;/span&gt;        &lt;span&gt;English&lt;/span&gt;  &lt;span class="language-check" aria-hidden="true"&gt;✓&lt;/span&gt;    &lt;/a&gt;</v>
      </c>
    </row>
    <row r="18" customFormat="false" ht="807.45" hidden="false" customHeight="false" outlineLevel="0" collapsed="false">
      <c r="A18" s="4" t="s">
        <v>1230</v>
      </c>
      <c r="B18" s="4" t="str">
        <f aca="false">_xlfn.ORG.LIBREOFFICE.REGEX(   A18,   "karmel\.at",   "karmel.at/archiwum/" &amp; 'range-0'!I2 )</f>
        <v>      &lt;a href="https://rekolekcje-online.karmel.at/archiwum/2026_adwent/" lang="pl" hreflang="pl"&gt;        &lt;span class="language-flag" aria-hidden="true"&gt;🇵🇱&lt;/span&gt;        &lt;span class="language-code"&gt;PL&lt;/span&gt;        &lt;span&gt;Polski&lt;/span&gt;      &lt;/a&gt;</v>
      </c>
      <c r="C18" s="4" t="str">
        <f aca="false">_xlfn.ORG.LIBREOFFICE.REGEX(   B18,   "karmel\.at",   "karmel.at/archiwum/" &amp; 'range-0'!J2 )</f>
        <v>      &lt;a href="https://rekolekcje-online.karmel.at/archiwum/2026_zaman-al-maji/archiwum/2026_adwent/" lang="pl" hreflang="pl"&gt;        &lt;span class="language-flag" aria-hidden="true"&gt;🇵🇱&lt;/span&gt;        &lt;span class="language-code"&gt;PL&lt;/span&gt;        &lt;span&gt;Polski&lt;/span&gt;      &lt;/a&gt;</v>
      </c>
      <c r="D18" s="4" t="str">
        <f aca="false">_xlfn.ORG.LIBREOFFICE.REGEX(   C18,   "karmel\.at",   "karmel.at/archiwum/" &amp; 'range-0'!K2 )</f>
        <v>      &lt;a href="https://rekolekcje-online.karmel.at/archiwum/2026_advento/archiwum/2026_zaman-al-maji/archiwum/2026_adwent/" lang="pl" hreflang="pl"&gt;        &lt;span class="language-flag" aria-hidden="true"&gt;🇵🇱&lt;/span&gt;        &lt;span class="language-code"&gt;PL&lt;/span&gt;        &lt;span&gt;Polski&lt;/span&gt;      &lt;/a&gt;</v>
      </c>
      <c r="E18" s="4" t="str">
        <f aca="false">_xlfn.ORG.LIBREOFFICE.REGEX(   D18,   "karmel\.at",   "karmel.at/archiwum/" &amp; 'range-0'!L2 )</f>
        <v>      &lt;a href="https://rekolekcje-online.karmel.at/archiwum/2026_jianglinqi/archiwum/2026_advento/archiwum/2026_zaman-al-maji/archiwum/2026_adwent/" lang="pl" hreflang="pl"&gt;        &lt;span class="language-flag" aria-hidden="true"&gt;🇵🇱&lt;/span&gt;        &lt;span class="language-code"&gt;PL&lt;/span&gt;        &lt;span&gt;Polski&lt;/span&gt;      &lt;/a&gt;</v>
      </c>
      <c r="F18" s="4" t="str">
        <f aca="false">_xlfn.ORG.LIBREOFFICE.REGEX(   E18,   "karmel\.at",   "karmel.at/archiwum/" &amp; 'range-0'!M2 )</f>
        <v>      &lt;a href="https://rekolekcje-online.karmel.at/archiwum/2026_advent/archiwum/2026_jianglinqi/archiwum/2026_advento/archiwum/2026_zaman-al-maji/archiwum/2026_adwent/" lang="pl" hreflang="pl"&gt;        &lt;span class="language-flag" aria-hidden="true"&gt;🇵🇱&lt;/span&gt;        &lt;span class="language-code"&gt;PL&lt;/span&gt;        &lt;span&gt;Polski&lt;/span&gt;      &lt;/a&gt;</v>
      </c>
      <c r="G18" s="4" t="str">
        <f aca="false">_xlfn.ORG.LIBREOFFICE.REGEX(   F18,   "karmel\.at",   "karmel.at/archiwum/" &amp; 'range-0'!N2 )</f>
        <v>      &lt;a href="https://rekolekcje-online.karmel.at/archiwum/2026_dosasce/archiwum/2026_advent/archiwum/2026_jianglinqi/archiwum/2026_advento/archiwum/2026_zaman-al-maji/archiwum/2026_adwent/" lang="pl" hreflang="pl"&gt;        &lt;span class="language-flag" aria-hidden="true"&gt;🇵🇱&lt;/span&gt;        &lt;span class="language-code"&gt;PL&lt;/span&gt;        &lt;span&gt;Polski&lt;/span&gt;      &lt;/a&gt;</v>
      </c>
      <c r="H18" s="4" t="str">
        <f aca="false">_xlfn.ORG.LIBREOFFICE.REGEX(   G18,   "karmel\.at",   "karmel.at/archiwum/" &amp; 'range-0'!O2 )</f>
        <v>      &lt;a href="https://rekolekcje-online.karmel.at/archiwum/2026_advent/archiwum/2026_dosasce/archiwum/2026_advent/archiwum/2026_jianglinqi/archiwum/2026_advento/archiwum/2026_zaman-al-maji/archiwum/2026_adwent/"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I18" s="4" t="str">
        <f aca="false">_xlfn.ORG.LIBREOFFICE.REGEX(   H18,   "karmel\.at",   "karmel.at/archiwum/" &amp; 'range-0'!P2 )</f>
        <v>      &lt;a href="https://rekolekcje-online.karmel.at/archiwum/2026_avvent/archiwum/2026_advent/archiwum/2026_dosasce/archiwum/2026_advent/archiwum/2026_jianglinqi/archiwum/2026_advento/archiwum/2026_zaman-al-maji/archiwum/2026_adwent/"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J18" s="4" t="str">
        <f aca="false">_xlfn.ORG.LIBREOFFICE.REGEX(   I18,   "karmel\.at",   "karmel.at/archiwum/" &amp; 'range-0'!Q2 )</f>
        <v>      &lt;a href="https://rekolekcje-online.karmel.at/archiwum/2026_advent/archiwum/2026_avvent/archiwum/2026_advent/archiwum/2026_dosasce/archiwum/2026_advent/archiwum/2026_jianglinqi/archiwum/2026_advento/archiwum/2026_zaman-al-maji/archiwum/2026_adwent/"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K18" s="4" t="str">
        <f aca="false">_xlfn.ORG.LIBREOFFICE.REGEX(   J18,   "karmel\.at",   "karmel.at/archiwum/" &amp; 'range-0'!R2 )</f>
        <v>      &lt;a href="https://rekolekcje-online.karmel.at/archiwum/2026_advent/archiwum/2026_advent/archiwum/2026_avvent/archiwum/2026_advent/archiwum/2026_dosasce/archiwum/2026_advent/archiwum/2026_jianglinqi/archiwum/2026_advento/archiwum/2026_zaman-al-maji/archiwum/2026_adwent/"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L18" s="4" t="str">
        <f aca="false">_xlfn.ORG.LIBREOFFICE.REGEX(   K18,   "karmel\.at",   "karmel.at/archiwum/" &amp; 'range-0'!S2 )</f>
        <v>      &lt;a href="https://rekolekcje-online.karmel.at/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M18" s="4" t="str">
        <f aca="false">_xlfn.ORG.LIBREOFFICE.REGEX(   L18,   "karmel\.at",   "karmel.at/archiwum/" &amp; 'range-0'!T2 )</f>
        <v>      &lt;a href="https://rekolekcje-online.karmel.at/archiwum/Br.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N18" s="4" t="str">
        <f aca="false">_xlfn.ORG.LIBREOFFICE.REGEX(   M18,   "karmel\.at",   "karmel.at/archiwum/" &amp; 'range-0'!U2 )</f>
        <v>      &lt;a href="https://rekolekcje-online.karmel.at/archiwum/2026-11-25/archiwum/Br.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O18" s="4" t="str">
        <f aca="false">_xlfn.ORG.LIBREOFFICE.REGEX(   N18,   "karmel\.at",   "karmel.at/archiwum/" &amp; 'range-0'!V2 )</f>
        <v>      &lt;a href="https://rekolekcje-online.karmel.at/archiwum/2027-01-03/archiwum/2026-11-25/archiwum/Br.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P18" s="4" t="str">
        <f aca="false">_xlfn.ORG.LIBREOFFICE.REGEX(   O18,   "karmel\.at",   "karmel.at/archiwum/" &amp; 'range-0'!W2 )</f>
        <v>      &lt;a href="https://rekolekcje-online.karmel.at/archiwum/X:ALLGEMEIN0900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Q18" s="4" t="str">
        <f aca="false">_xlfn.ORG.LIBREOFFICE.REGEX(   P18,   "karmel\.at",   "karmel.at/archiwum/" &amp; 'range-0'!X2 )</f>
        <v>      &lt;a href="https://rekolekcje-online.karmel.at/archiwum//archiwum/X:ALLGEMEIN0900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R18" s="4" t="str">
        <f aca="false">_xlfn.ORG.LIBREOFFICE.REGEX(   Q18,   "karmel\.at",   "karmel.at/archiwum/" &amp; 'range-0'!Y2 )</f>
        <v>      &lt;a href="https://rekolekcje-online.karmel.at/archiwum/Advent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S18" s="4" t="str">
        <f aca="false">_xlfn.ORG.LIBREOFFICE.REGEX(   R18,   "karmel\.at",   "karmel.at/archiwum/" &amp; 'range-0'!Z2 )</f>
        <v>      &lt;a href="https://rekolekcje-online.karmel.at/archiwum//archiwum/Advent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T18" s="4" t="str">
        <f aca="false">_xlfn.ORG.LIBREOFFICE.REGEX(   S18,   "karmel\.at",   "karmel.at/archiwum/" &amp; 'range-0'!AA2 )</f>
        <v>      &lt;a href="https://rekolekcje-online.karmel.at/archiwum//archiwum//archiwum/Advent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U18" s="4" t="str">
        <f aca="false">_xlfn.ORG.LIBREOFFICE.REGEX(   T18,   "karmel\.at",   "karmel.at/archiwum/" &amp; 'range-0'!AB2 )</f>
        <v>      &lt;a href="https://rekolekcje-online.karmel.at/archiwum/Advent 2026 with Brother Lawrence of the Resurrection/archiwum//archiwum//archiwum/Advent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V18" s="4" t="str">
        <f aca="false">_xlfn.ORG.LIBREOFFICE.REGEX(   U18,   "karmel\.at",   "karmel.at/archiwum/" &amp; 'range-0'!AC2 )</f>
        <v>      &lt;a href="https://rekolekcje-online.karmel.at/archiwum//archiwum/Advent 2026 with Brother Lawrence of the Resurrection/archiwum//archiwum//archiwum/Advent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W18" s="4" t="str">
        <f aca="false">_xlfn.ORG.LIBREOFFICE.REGEX(   V18,   "karmel\.at",   "karmel.at/archiwum/" &amp; 'range-0'!AD2 )</f>
        <v>      &lt;a href="https://rekolekcje-online.karmel.at/archiwum//archiwum//archiwum/Advent 2026 with Brother Lawrence of the Resurrection/archiwum//archiwum//archiwum/Advent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c r="X18" s="4" t="str">
        <f aca="false">_xlfn.ORG.LIBREOFFICE.REGEX(   W18,   "karmel\.at",   "karmel.at/archiwum/" &amp; 'range-0'!AE2 )</f>
        <v>      &lt;a href="https://rekolekcje-online.karmel.at/archiwum//archiwum//archiwum//archiwum/Advent 2026 with Brother Lawrence of the Resurrection/archiwum//archiwum//archiwum/Advent 2026 mit Bruder Lorenz von der Auferstehung/archiwum//archiwum/X:ALLGEMEIN0900 VeröffentlichungenVeröffentlichungen-aktuell2026 Advent/archiwum/2027-01-03/archiwum/2026-11-25/archiwum/Br. Lorenz von der Auferstehung/archiwum/2026_mua-vong/archiwum/2026_advent/archiwum/2026_advent/archiwum/2026_avvent/archiwum/2026_advent/archiwum/2026_dosasce/archiwum/2026_advent/archiwum/2026_jianglinqi/archiwum/2026_advento/archiwum/2026_zaman-al-maji/archiwum/2026_adwent/" lang="pl" hreflang="pl"&gt;        &lt;span class="language-flag" aria-hidden="true"&gt;🇵🇱&lt;/span&gt;        &lt;span class="language-code"&gt;PL&lt;/span&gt;        &lt;span&gt;Polski&lt;/span&gt;      &lt;/a&gt;</v>
      </c>
    </row>
    <row r="19" customFormat="false" ht="774.6" hidden="false" customHeight="false" outlineLevel="0" collapsed="false">
      <c r="A19" s="4" t="s">
        <v>1231</v>
      </c>
      <c r="B19" s="4" t="str">
        <f aca="false">_xlfn.ORG.LIBREOFFICE.REGEX(   A19,   "karmel\.at",   "karmel.at/arsheef/" &amp; 'range-0'!J2 )</f>
        <v>      &lt;a href="https://retraite-arabe.karmel.at/arsheef/2026_zaman-al-maji/" lang="ar" hreflang="ar" dir="rtl"&gt;        &lt;span class="language-flag" aria-hidden="true"&gt;🇱🇧🇸🇦&lt;/span&gt;        &lt;span class="language-code"&gt;AR&lt;/span&gt;        &lt;span&gt;العربية&lt;/span&gt;      &lt;/a&gt;</v>
      </c>
      <c r="C19" s="4" t="str">
        <f aca="false">_xlfn.ORG.LIBREOFFICE.REGEX(   B19,   "karmel\.at",   "karmel.at/arsheef/" &amp; 'range-0'!K2 )</f>
        <v>      &lt;a href="https://retraite-arabe.karmel.at/arsheef/2026_advento/arsheef/2026_zaman-al-maji/" lang="ar" hreflang="ar" dir="rtl"&gt;        &lt;span class="language-flag" aria-hidden="true"&gt;🇱🇧🇸🇦&lt;/span&gt;        &lt;span class="language-code"&gt;AR&lt;/span&gt;        &lt;span&gt;العربية&lt;/span&gt;      &lt;/a&gt;</v>
      </c>
      <c r="D19" s="4" t="str">
        <f aca="false">_xlfn.ORG.LIBREOFFICE.REGEX(   C19,   "karmel\.at",   "karmel.at/arsheef/" &amp; 'range-0'!L2 )</f>
        <v>      &lt;a href="https://retraite-arabe.karmel.at/arsheef/2026_jianglinqi/arsheef/2026_advento/arsheef/2026_zaman-al-maji/" lang="ar" hreflang="ar" dir="rtl"&gt;        &lt;span class="language-flag" aria-hidden="true"&gt;🇱🇧🇸🇦&lt;/span&gt;        &lt;span class="language-code"&gt;AR&lt;/span&gt;        &lt;span&gt;العربية&lt;/span&gt;      &lt;/a&gt;</v>
      </c>
      <c r="E19" s="4" t="str">
        <f aca="false">_xlfn.ORG.LIBREOFFICE.REGEX(   D19,   "karmel\.at",   "karmel.at/arsheef/" &amp; 'range-0'!M2 )</f>
        <v>      &lt;a href="https://retraite-arabe.karmel.at/arsheef/2026_advent/arsheef/2026_jianglinqi/arsheef/2026_advento/arsheef/2026_zaman-al-maji/" lang="ar" hreflang="ar" dir="rtl"&gt;        &lt;span class="language-flag" aria-hidden="true"&gt;🇱🇧🇸🇦&lt;/span&gt;        &lt;span class="language-code"&gt;AR&lt;/span&gt;        &lt;span&gt;العربية&lt;/span&gt;      &lt;/a&gt;</v>
      </c>
      <c r="F19" s="4" t="str">
        <f aca="false">_xlfn.ORG.LIBREOFFICE.REGEX(   E19,   "karmel\.at",   "karmel.at/arsheef/" &amp; 'range-0'!N2 )</f>
        <v>      &lt;a href="https://retraite-arabe.karmel.at/arsheef/2026_dosasce/arsheef/2026_advent/arsheef/2026_jianglinqi/arsheef/2026_advento/arsheef/2026_zaman-al-maji/" lang="ar" hreflang="ar" dir="rtl"&gt;        &lt;span class="language-flag" aria-hidden="true"&gt;🇱🇧🇸🇦&lt;/span&gt;        &lt;span class="language-code"&gt;AR&lt;/span&gt;        &lt;span&gt;العربية&lt;/span&gt;      &lt;/a&gt;</v>
      </c>
      <c r="G19" s="4" t="str">
        <f aca="false">_xlfn.ORG.LIBREOFFICE.REGEX(   F19,   "karmel\.at",   "karmel.at/arsheef/" &amp; 'range-0'!O2 )</f>
        <v>      &lt;a href="https://retraite-arabe.karmel.at/arsheef/2026_advent/arsheef/2026_dosasce/arsheef/2026_advent/arsheef/2026_jianglinqi/arsheef/2026_advento/arsheef/2026_zaman-al-maji/" lang="ar" hreflang="ar" dir="rtl"&gt;        &lt;span class="language-flag" aria-hidden="true"&gt;🇱🇧🇸🇦&lt;/span&gt;        &lt;span class="language-code"&gt;AR&lt;/span&gt;        &lt;span&gt;العربية&lt;/span&gt;      &lt;/a&gt;</v>
      </c>
      <c r="H19" s="4" t="str">
        <f aca="false">_xlfn.ORG.LIBREOFFICE.REGEX(   G19,   "karmel\.at",   "karmel.at/arsheef/" &amp; 'range-0'!P2 )</f>
        <v>      &lt;a href="https://retraite-arabe.karmel.at/arsheef/2026_avvent/arsheef/2026_advent/arsheef/2026_dosasce/arsheef/2026_advent/arsheef/2026_jianglinqi/arsheef/2026_advento/arsheef/2026_zaman-al-maji/"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I19" s="4" t="str">
        <f aca="false">_xlfn.ORG.LIBREOFFICE.REGEX(   H19,   "karmel\.at",   "karmel.at/arsheef/" &amp; 'range-0'!Q2 )</f>
        <v>      &lt;a href="https://retraite-arabe.karmel.at/arsheef/2026_advent/arsheef/2026_avvent/arsheef/2026_advent/arsheef/2026_dosasce/arsheef/2026_advent/arsheef/2026_jianglinqi/arsheef/2026_advento/arsheef/2026_zaman-al-maji/"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J19" s="4" t="str">
        <f aca="false">_xlfn.ORG.LIBREOFFICE.REGEX(   I19,   "karmel\.at",   "karmel.at/arsheef/" &amp; 'range-0'!R2 )</f>
        <v>      &lt;a href="https://retraite-arabe.karmel.at/arsheef/2026_advent/arsheef/2026_advent/arsheef/2026_avvent/arsheef/2026_advent/arsheef/2026_dosasce/arsheef/2026_advent/arsheef/2026_jianglinqi/arsheef/2026_advento/arsheef/2026_zaman-al-maji/"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K19" s="4" t="str">
        <f aca="false">_xlfn.ORG.LIBREOFFICE.REGEX(   J19,   "karmel\.at",   "karmel.at/arsheef/" &amp; 'range-0'!S2 )</f>
        <v>      &lt;a href="https://retraite-arabe.karmel.at/arsheef/2026_mua-vong/arsheef/2026_advent/arsheef/2026_advent/arsheef/2026_avvent/arsheef/2026_advent/arsheef/2026_dosasce/arsheef/2026_advent/arsheef/2026_jianglinqi/arsheef/2026_advento/arsheef/2026_zaman-al-maji/"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L19" s="4" t="str">
        <f aca="false">_xlfn.ORG.LIBREOFFICE.REGEX(   K19,   "karmel\.at",   "karmel.at/arsheef/" &amp; 'range-0'!T2 )</f>
        <v>      &lt;a href="https://retraite-arabe.karmel.at/arsheef/Br.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M19" s="4" t="str">
        <f aca="false">_xlfn.ORG.LIBREOFFICE.REGEX(   L19,   "karmel\.at",   "karmel.at/arsheef/" &amp; 'range-0'!U2 )</f>
        <v>      &lt;a href="https://retraite-arabe.karmel.at/arsheef/2026-11-25/arsheef/Br.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N19" s="4" t="str">
        <f aca="false">_xlfn.ORG.LIBREOFFICE.REGEX(   M19,   "karmel\.at",   "karmel.at/arsheef/" &amp; 'range-0'!V2 )</f>
        <v>      &lt;a href="https://retraite-arabe.karmel.at/arsheef/2027-01-03/arsheef/2026-11-25/arsheef/Br.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O19" s="4" t="str">
        <f aca="false">_xlfn.ORG.LIBREOFFICE.REGEX(   N19,   "karmel\.at",   "karmel.at/arsheef/" &amp; 'range-0'!W2 )</f>
        <v>      &lt;a href="https://retraite-arabe.karmel.at/arsheef/X:ALLGEMEIN0900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P19" s="4" t="str">
        <f aca="false">_xlfn.ORG.LIBREOFFICE.REGEX(   O19,   "karmel\.at",   "karmel.at/arsheef/" &amp; 'range-0'!X2 )</f>
        <v>      &lt;a href="https://retraite-arabe.karmel.at/arsheef//arsheef/X:ALLGEMEIN0900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Q19" s="4" t="str">
        <f aca="false">_xlfn.ORG.LIBREOFFICE.REGEX(   P19,   "karmel\.at",   "karmel.at/arsheef/" &amp; 'range-0'!Y2 )</f>
        <v>      &lt;a href="https://retraite-arabe.karmel.at/arsheef/Advent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R19" s="4" t="str">
        <f aca="false">_xlfn.ORG.LIBREOFFICE.REGEX(   Q19,   "karmel\.at",   "karmel.at/arsheef/" &amp; 'range-0'!Z2 )</f>
        <v>      &lt;a href="https://retraite-arabe.karmel.at/arsheef//arsheef/Advent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S19" s="4" t="str">
        <f aca="false">_xlfn.ORG.LIBREOFFICE.REGEX(   R19,   "karmel\.at",   "karmel.at/arsheef/" &amp; 'range-0'!AA2 )</f>
        <v>      &lt;a href="https://retraite-arabe.karmel.at/arsheef//arsheef//arsheef/Advent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T19" s="4" t="str">
        <f aca="false">_xlfn.ORG.LIBREOFFICE.REGEX(   S19,   "karmel\.at",   "karmel.at/arsheef/" &amp; 'range-0'!AB2 )</f>
        <v>      &lt;a href="https://retraite-arabe.karmel.at/arsheef/Advent 2026 with Brother Lawrence of the Resurrection/arsheef//arsheef//arsheef/Advent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U19" s="4" t="str">
        <f aca="false">_xlfn.ORG.LIBREOFFICE.REGEX(   T19,   "karmel\.at",   "karmel.at/arsheef/" &amp; 'range-0'!AC2 )</f>
        <v>      &lt;a href="https://retraite-arabe.karmel.at/arsheef//arsheef/Advent 2026 with Brother Lawrence of the Resurrection/arsheef//arsheef//arsheef/Advent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V19" s="4" t="str">
        <f aca="false">_xlfn.ORG.LIBREOFFICE.REGEX(   U19,   "karmel\.at",   "karmel.at/arsheef/" &amp; 'range-0'!AD2 )</f>
        <v>      &lt;a href="https://retraite-arabe.karmel.at/arsheef//arsheef//arsheef/Advent 2026 with Brother Lawrence of the Resurrection/arsheef//arsheef//arsheef/Advent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W19" s="4" t="str">
        <f aca="false">_xlfn.ORG.LIBREOFFICE.REGEX(   V19,   "karmel\.at",   "karmel.at/arsheef/" &amp; 'range-0'!AE2 )</f>
        <v>      &lt;a href="https://retraite-arabe.karmel.at/arsheef//arsheef//arsheef//arsheef/Advent 2026 with Brother Lawrence of the Resurrection/arsheef//arsheef//arsheef/Advent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c r="X19" s="4" t="str">
        <f aca="false">_xlfn.ORG.LIBREOFFICE.REGEX(   W19,   "karmel\.at",   "karmel.at/arsheef/" &amp; 'range-0'!AF2 )</f>
        <v>      &lt;a href="https://retraite-arabe.karmel.at/arsheef//arsheef//arsheef//arsheef//arsheef/Advent 2026 with Brother Lawrence of the Resurrection/arsheef//arsheef//arsheef/Advent 2026 mit Bruder Lorenz von der Auferstehung/arsheef//arsheef/X:ALLGEMEIN0900 VeröffentlichungenVeröffentlichungen-aktuell2026 Advent/arsheef/2027-01-03/arsheef/2026-11-25/arsheef/Br. Lorenz von der Auferstehung/arsheef/2026_mua-vong/arsheef/2026_advent/arsheef/2026_advent/arsheef/2026_avvent/arsheef/2026_advent/arsheef/2026_dosasce/arsheef/2026_advent/arsheef/2026_jianglinqi/arsheef/2026_advento/arsheef/2026_zaman-al-maji/" lang="ar" hreflang="ar" dir="rtl"&gt;        &lt;span class="language-flag" aria-hidden="true"&gt;🇱🇧🇸🇦&lt;/span&gt;        &lt;span class="language-code"&gt;AR&lt;/span&gt;        &lt;span&gt;العربية&lt;/span&gt;      &lt;/a&gt;</v>
      </c>
    </row>
    <row r="20" customFormat="false" ht="729.1" hidden="false" customHeight="false" outlineLevel="0" collapsed="false">
      <c r="A20" s="4" t="s">
        <v>1232</v>
      </c>
      <c r="B20" s="4" t="str">
        <f aca="false">_xlfn.ORG.LIBREOFFICE.REGEX(   A20,   "karmel\.at",   "karmel.at/arquivo/" &amp; 'range-0'!K2 )</f>
        <v>      &lt;a href="" lang="https://webretiro.karmel.at/arquivo/2026_advento/" hreflang="pt"&gt;        &lt;span class="language-flag" aria-hidden="true"&gt;🇵🇹&lt;/span&gt;        &lt;span class="language-code"&gt;PT&lt;/span&gt;        &lt;span&gt;Português&lt;/span&gt;      &lt;/a&gt;</v>
      </c>
      <c r="C20" s="4" t="str">
        <f aca="false">_xlfn.ORG.LIBREOFFICE.REGEX(   B20,   "karmel\.at",   "karmel.at/arquivo/" &amp; 'range-0'!L2 )</f>
        <v>      &lt;a href="" lang="https://webretiro.karmel.at/arquivo/2026_jianglinqi/arquivo/2026_advento/" hreflang="pt"&gt;        &lt;span class="language-flag" aria-hidden="true"&gt;🇵🇹&lt;/span&gt;        &lt;span class="language-code"&gt;PT&lt;/span&gt;        &lt;span&gt;Português&lt;/span&gt;      &lt;/a&gt;</v>
      </c>
      <c r="D20" s="4" t="str">
        <f aca="false">_xlfn.ORG.LIBREOFFICE.REGEX(   C20,   "karmel\.at",   "karmel.at/arquivo/" &amp; 'range-0'!M2 )</f>
        <v>      &lt;a href="" lang="https://webretiro.karmel.at/arquivo/2026_advent/arquivo/2026_jianglinqi/arquivo/2026_advento/" hreflang="pt"&gt;        &lt;span class="language-flag" aria-hidden="true"&gt;🇵🇹&lt;/span&gt;        &lt;span class="language-code"&gt;PT&lt;/span&gt;        &lt;span&gt;Português&lt;/span&gt;      &lt;/a&gt;</v>
      </c>
      <c r="E20" s="4" t="str">
        <f aca="false">_xlfn.ORG.LIBREOFFICE.REGEX(   D20,   "karmel\.at",   "karmel.at/arquivo/" &amp; 'range-0'!N2 )</f>
        <v>      &lt;a href="" lang="https://webretiro.karmel.at/arquivo/2026_dosasce/arquivo/2026_advent/arquivo/2026_jianglinqi/arquivo/2026_advento/" hreflang="pt"&gt;        &lt;span class="language-flag" aria-hidden="true"&gt;🇵🇹&lt;/span&gt;        &lt;span class="language-code"&gt;PT&lt;/span&gt;        &lt;span&gt;Português&lt;/span&gt;      &lt;/a&gt;</v>
      </c>
      <c r="F20" s="4" t="str">
        <f aca="false">_xlfn.ORG.LIBREOFFICE.REGEX(   E20,   "karmel\.at",   "karmel.at/arquivo/" &amp; 'range-0'!O2 )</f>
        <v>      &lt;a href="" lang="https://webretiro.karmel.at/arquivo/2026_advent/arquivo/2026_dosasce/arquivo/2026_advent/arquivo/2026_jianglinqi/arquivo/2026_advento/" hreflang="pt"&gt;        &lt;span class="language-flag" aria-hidden="true"&gt;🇵🇹&lt;/span&gt;        &lt;span class="language-code"&gt;PT&lt;/span&gt;        &lt;span&gt;Português&lt;/span&gt;      &lt;/a&gt;</v>
      </c>
      <c r="G20" s="4" t="str">
        <f aca="false">_xlfn.ORG.LIBREOFFICE.REGEX(   F20,   "karmel\.at",   "karmel.at/arquivo/" &amp; 'range-0'!P2 )</f>
        <v>      &lt;a href="" lang="https://webretiro.karmel.at/arquivo/2026_avvent/arquivo/2026_advent/arquivo/2026_dosasce/arquivo/2026_advent/arquivo/2026_jianglinqi/arquivo/2026_advento/" hreflang="pt"&gt;        &lt;span class="language-flag" aria-hidden="true"&gt;🇵🇹&lt;/span&gt;        &lt;span class="language-code"&gt;PT&lt;/span&gt;        &lt;span&gt;Português&lt;/span&gt;      &lt;/a&gt;</v>
      </c>
      <c r="H20" s="4" t="str">
        <f aca="false">_xlfn.ORG.LIBREOFFICE.REGEX(   G20,   "karmel\.at",   "karmel.at/arquivo/" &amp; 'range-0'!Q2 )</f>
        <v>      &lt;a href="" lang="https://webretiro.karmel.at/arquivo/2026_advent/arquivo/2026_avvent/arquivo/2026_advent/arquivo/2026_dosasce/arquivo/2026_advent/arquivo/2026_jianglinqi/arquivo/2026_advento/" hreflang="pt"&gt;        &lt;span class="language-flag" aria-hidden="true"&gt;🇵🇹&lt;/span&gt;        &lt;span class="language-code"&gt;PT&lt;/span&gt;        &lt;span&gt;Português&lt;/span&gt;      &lt;/a&gt;</v>
      </c>
      <c r="I20" s="4" t="str">
        <f aca="false">_xlfn.ORG.LIBREOFFICE.REGEX(   H20,   "karmel\.at",   "karmel.at/arquivo/" &amp; 'range-0'!R2 )</f>
        <v>      &lt;a href="" lang="https://webretiro.karmel.at/arquivo/2026_advent/arquivo/2026_advent/arquivo/2026_avvent/arquivo/2026_advent/arquivo/2026_dosasce/arquivo/2026_advent/arquivo/2026_jianglinqi/arquivo/2026_advento/"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J20" s="4" t="str">
        <f aca="false">_xlfn.ORG.LIBREOFFICE.REGEX(   I20,   "karmel\.at",   "karmel.at/arquivo/" &amp; 'range-0'!S2 )</f>
        <v>      &lt;a href="" lang="https://webretiro.karmel.at/arquivo/2026_mua-vong/arquivo/2026_advent/arquivo/2026_advent/arquivo/2026_avvent/arquivo/2026_advent/arquivo/2026_dosasce/arquivo/2026_advent/arquivo/2026_jianglinqi/arquivo/2026_advento/"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K20" s="4" t="str">
        <f aca="false">_xlfn.ORG.LIBREOFFICE.REGEX(   J20,   "karmel\.at",   "karmel.at/arquivo/" &amp; 'range-0'!T2 )</f>
        <v>      &lt;a href="" lang="https://webretiro.karmel.at/arquivo/Br.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L20" s="4" t="str">
        <f aca="false">_xlfn.ORG.LIBREOFFICE.REGEX(   K20,   "karmel\.at",   "karmel.at/arquivo/" &amp; 'range-0'!U2 )</f>
        <v>      &lt;a href="" lang="https://webretiro.karmel.at/arquivo/2026-11-25/arquivo/Br.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M20" s="4" t="str">
        <f aca="false">_xlfn.ORG.LIBREOFFICE.REGEX(   L20,   "karmel\.at",   "karmel.at/arquivo/" &amp; 'range-0'!V2 )</f>
        <v>      &lt;a href="" lang="https://webretiro.karmel.at/arquivo/2027-01-03/arquivo/2026-11-25/arquivo/Br.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N20" s="4" t="str">
        <f aca="false">_xlfn.ORG.LIBREOFFICE.REGEX(   M20,   "karmel\.at",   "karmel.at/arquivo/" &amp; 'range-0'!W2 )</f>
        <v>      &lt;a href="" lang="https://webretiro.karmel.at/arquivo/X:ALLGEMEIN0900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O20" s="4" t="str">
        <f aca="false">_xlfn.ORG.LIBREOFFICE.REGEX(   N20,   "karmel\.at",   "karmel.at/arquivo/" &amp; 'range-0'!X2 )</f>
        <v>      &lt;a href="" lang="https://webretiro.karmel.at/arquivo//arquivo/X:ALLGEMEIN0900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P20" s="4" t="str">
        <f aca="false">_xlfn.ORG.LIBREOFFICE.REGEX(   O20,   "karmel\.at",   "karmel.at/arquivo/" &amp; 'range-0'!Y2 )</f>
        <v>      &lt;a href="" lang="https://webretiro.karmel.at/arquivo/Advent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Q20" s="4" t="str">
        <f aca="false">_xlfn.ORG.LIBREOFFICE.REGEX(   P20,   "karmel\.at",   "karmel.at/arquivo/" &amp; 'range-0'!Z2 )</f>
        <v>      &lt;a href="" lang="https://webretiro.karmel.at/arquivo//arquivo/Advent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R20" s="4" t="str">
        <f aca="false">_xlfn.ORG.LIBREOFFICE.REGEX(   Q20,   "karmel\.at",   "karmel.at/arquivo/" &amp; 'range-0'!AA2 )</f>
        <v>      &lt;a href="" lang="https://webretiro.karmel.at/arquivo//arquivo//arquivo/Advent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S20" s="4" t="str">
        <f aca="false">_xlfn.ORG.LIBREOFFICE.REGEX(   R20,   "karmel\.at",   "karmel.at/arquivo/" &amp; 'range-0'!AB2 )</f>
        <v>      &lt;a href="" lang="https://webretiro.karmel.at/arquivo/Advent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T20" s="4" t="str">
        <f aca="false">_xlfn.ORG.LIBREOFFICE.REGEX(   S20,   "karmel\.at",   "karmel.at/arquivo/" &amp; 'range-0'!AC2 )</f>
        <v>      &lt;a href="" lang="https://webretiro.karmel.at/arquivo//arquivo/Advent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U20" s="4" t="str">
        <f aca="false">_xlfn.ORG.LIBREOFFICE.REGEX(   T20,   "karmel\.at",   "karmel.at/arquivo/" &amp; 'range-0'!AD2 )</f>
        <v>      &lt;a href="" lang="https://webretiro.karmel.at/arquivo//arquivo//arquivo/Advent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V20" s="4" t="str">
        <f aca="false">_xlfn.ORG.LIBREOFFICE.REGEX(   U20,   "karmel\.at",   "karmel.at/arquivo/" &amp; 'range-0'!AE2 )</f>
        <v>      &lt;a href="" lang="https://webretiro.karmel.at/arquivo//arquivo//arquivo//arquivo/Advent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W20" s="4" t="str">
        <f aca="false">_xlfn.ORG.LIBREOFFICE.REGEX(   V20,   "karmel\.at",   "karmel.at/arquivo/" &amp; 'range-0'!AF2 )</f>
        <v>      &lt;a href="" lang="https://webretiro.karmel.at/arquivo//arquivo//arquivo//arquivo//arquivo/Advent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c r="X20" s="4" t="str">
        <f aca="false">_xlfn.ORG.LIBREOFFICE.REGEX(   W20,   "karmel\.at",   "karmel.at/arquivo/" &amp; 'range-0'!AG2 )</f>
        <v>      &lt;a href="" lang="https://webretiro.karmel.at/arquivo//arquivo//arquivo//arquivo//arquivo//arquivo/Advent 2026 with Brother Lawrence of the Resurrection/arquivo//arquivo//arquivo/Advent 2026 mit Bruder Lorenz von der Auferstehung/arquivo//arquivo/X:ALLGEMEIN0900 VeröffentlichungenVeröffentlichungen-aktuell2026 Advent/arquivo/2027-01-03/arquivo/2026-11-25/arquivo/Br. Lorenz von der Auferstehung/arquivo/2026_mua-vong/arquivo/2026_advent/arquivo/2026_advent/arquivo/2026_avvent/arquivo/2026_advent/arquivo/2026_dosasce/arquivo/2026_advent/arquivo/2026_jianglinqi/arquivo/2026_advento/" hreflang="pt"&gt;        &lt;span class="language-flag" aria-hidden="true"&gt;🇵🇹&lt;/span&gt;        &lt;span class="language-code"&gt;PT&lt;/span&gt;        &lt;span&gt;Português&lt;/span&gt;      &lt;/a&gt;</v>
      </c>
    </row>
    <row r="21" customFormat="false" ht="730.55" hidden="false" customHeight="false" outlineLevel="0" collapsed="false">
      <c r="A21" s="4" t="s">
        <v>1233</v>
      </c>
      <c r="B21" s="4" t="str">
        <f aca="false">_xlfn.ORG.LIBREOFFICE.REGEX(   A21,   "karmel\.at",   "karmel.at/dangan/" &amp; 'range-0'!L2 )</f>
        <v>      &lt;a href="https://zaixian-tuixing.karmel.at/dangan/2026_jianglinqi/" lang="zh" hreflang="zh"&gt;        &lt;span class="language-flag" aria-hidden="true"&gt;🇨🇳&lt;/span&gt;        &lt;span class="language-code"&gt;ZH&lt;/span&gt;        &lt;span&gt;中文&lt;/span&gt;      &lt;/a&gt;</v>
      </c>
      <c r="C21" s="4" t="str">
        <f aca="false">_xlfn.ORG.LIBREOFFICE.REGEX(   B21,   "karmel\.at",   "karmel.at/dangan/" &amp; 'range-0'!M2 )</f>
        <v>      &lt;a href="https://zaixian-tuixing.karmel.at/dangan/2026_advent/dangan/2026_jianglinqi/" lang="zh" hreflang="zh"&gt;        &lt;span class="language-flag" aria-hidden="true"&gt;🇨🇳&lt;/span&gt;        &lt;span class="language-code"&gt;ZH&lt;/span&gt;        &lt;span&gt;中文&lt;/span&gt;      &lt;/a&gt;</v>
      </c>
      <c r="D21" s="4" t="str">
        <f aca="false">_xlfn.ORG.LIBREOFFICE.REGEX(   C21,   "karmel\.at",   "karmel.at/dangan/" &amp; 'range-0'!N2 )</f>
        <v>      &lt;a href="https://zaixian-tuixing.karmel.at/dangan/2026_dosasce/dangan/2026_advent/dangan/2026_jianglinqi/" lang="zh" hreflang="zh"&gt;        &lt;span class="language-flag" aria-hidden="true"&gt;🇨🇳&lt;/span&gt;        &lt;span class="language-code"&gt;ZH&lt;/span&gt;        &lt;span&gt;中文&lt;/span&gt;      &lt;/a&gt;</v>
      </c>
      <c r="E21" s="4" t="str">
        <f aca="false">_xlfn.ORG.LIBREOFFICE.REGEX(   D21,   "karmel\.at",   "karmel.at/dangan/" &amp; 'range-0'!O2 )</f>
        <v>      &lt;a href="https://zaixian-tuixing.karmel.at/dangan/2026_advent/dangan/2026_dosasce/dangan/2026_advent/dangan/2026_jianglinqi/" lang="zh" hreflang="zh"&gt;        &lt;span class="language-flag" aria-hidden="true"&gt;🇨🇳&lt;/span&gt;        &lt;span class="language-code"&gt;ZH&lt;/span&gt;        &lt;span&gt;中文&lt;/span&gt;      &lt;/a&gt;</v>
      </c>
      <c r="F21" s="4" t="str">
        <f aca="false">_xlfn.ORG.LIBREOFFICE.REGEX(   E21,   "karmel\.at",   "karmel.at/dangan/" &amp; 'range-0'!P2 )</f>
        <v>      &lt;a href="https://zaixian-tuixing.karmel.at/dangan/2026_avvent/dangan/2026_advent/dangan/2026_dosasce/dangan/2026_advent/dangan/2026_jianglinqi/" lang="zh" hreflang="zh"&gt;        &lt;span class="language-flag" aria-hidden="true"&gt;🇨🇳&lt;/span&gt;        &lt;span class="language-code"&gt;ZH&lt;/span&gt;        &lt;span&gt;中文&lt;/span&gt;      &lt;/a&gt;</v>
      </c>
      <c r="G21" s="4" t="str">
        <f aca="false">_xlfn.ORG.LIBREOFFICE.REGEX(   F21,   "karmel\.at",   "karmel.at/dangan/" &amp; 'range-0'!Q2 )</f>
        <v>      &lt;a href="https://zaixian-tuixing.karmel.at/dangan/2026_advent/dangan/2026_avvent/dangan/2026_advent/dangan/2026_dosasce/dangan/2026_advent/dangan/2026_jianglinqi/" lang="zh" hreflang="zh"&gt;        &lt;span class="language-flag" aria-hidden="true"&gt;🇨🇳&lt;/span&gt;        &lt;span class="language-code"&gt;ZH&lt;/span&gt;        &lt;span&gt;中文&lt;/span&gt;      &lt;/a&gt;</v>
      </c>
      <c r="H21" s="4" t="str">
        <f aca="false">_xlfn.ORG.LIBREOFFICE.REGEX(   G21,   "karmel\.at",   "karmel.at/dangan/" &amp; 'range-0'!R2 )</f>
        <v>      &lt;a href="https://zaixian-tuixing.karmel.at/dangan/2026_advent/dangan/2026_advent/dangan/2026_avvent/dangan/2026_advent/dangan/2026_dosasce/dangan/2026_advent/dangan/2026_jianglinqi/" lang="zh" hreflang="zh"&gt;        &lt;span class="language-flag" aria-hidden="true"&gt;🇨🇳&lt;/span&gt;        &lt;span class="language-code"&gt;ZH&lt;/span&gt;        &lt;span&gt;中文&lt;/span&gt;      &lt;/a&gt;</v>
      </c>
      <c r="I21" s="4" t="str">
        <f aca="false">_xlfn.ORG.LIBREOFFICE.REGEX(   H21,   "karmel\.at",   "karmel.at/dangan/" &amp; 'range-0'!S2 )</f>
        <v>      &lt;a href="https://zaixian-tuixing.karmel.at/dangan/2026_mua-vong/dangan/2026_advent/dangan/2026_advent/dangan/2026_avvent/dangan/2026_advent/dangan/2026_dosasce/dangan/2026_advent/dangan/2026_jianglinqi/"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J21" s="4" t="str">
        <f aca="false">_xlfn.ORG.LIBREOFFICE.REGEX(   I21,   "karmel\.at",   "karmel.at/dangan/" &amp; 'range-0'!T2 )</f>
        <v>      &lt;a href="https://zaixian-tuixing.karmel.at/dangan/Br.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K21" s="4" t="str">
        <f aca="false">_xlfn.ORG.LIBREOFFICE.REGEX(   J21,   "karmel\.at",   "karmel.at/dangan/" &amp; 'range-0'!U2 )</f>
        <v>      &lt;a href="https://zaixian-tuixing.karmel.at/dangan/2026-11-25/dangan/Br.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L21" s="4" t="str">
        <f aca="false">_xlfn.ORG.LIBREOFFICE.REGEX(   K21,   "karmel\.at",   "karmel.at/dangan/" &amp; 'range-0'!V2 )</f>
        <v>      &lt;a href="https://zaixian-tuixing.karmel.at/dangan/2027-01-03/dangan/2026-11-25/dangan/Br.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M21" s="4" t="str">
        <f aca="false">_xlfn.ORG.LIBREOFFICE.REGEX(   L21,   "karmel\.at",   "karmel.at/dangan/" &amp; 'range-0'!W2 )</f>
        <v>      &lt;a href="https://zaixian-tuixing.karmel.at/dangan/X:ALLGEMEIN0900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N21" s="4" t="str">
        <f aca="false">_xlfn.ORG.LIBREOFFICE.REGEX(   M21,   "karmel\.at",   "karmel.at/dangan/" &amp; 'range-0'!X2 )</f>
        <v>      &lt;a href="https://zaixian-tuixing.karmel.at/dangan//dangan/X:ALLGEMEIN0900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O21" s="4" t="str">
        <f aca="false">_xlfn.ORG.LIBREOFFICE.REGEX(   N21,   "karmel\.at",   "karmel.at/dangan/" &amp; 'range-0'!Y2 )</f>
        <v>      &lt;a href="https://zaixian-tuixing.karmel.at/dangan/Advent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P21" s="4" t="str">
        <f aca="false">_xlfn.ORG.LIBREOFFICE.REGEX(   O21,   "karmel\.at",   "karmel.at/dangan/" &amp; 'range-0'!Z2 )</f>
        <v>      &lt;a href="https://zaixian-tuixing.karmel.at/dangan//dangan/Advent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Q21" s="4" t="str">
        <f aca="false">_xlfn.ORG.LIBREOFFICE.REGEX(   P21,   "karmel\.at",   "karmel.at/dangan/" &amp; 'range-0'!AA2 )</f>
        <v>      &lt;a href="https://zaixian-tuixing.karmel.at/dangan//dangan//dangan/Advent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R21" s="4" t="str">
        <f aca="false">_xlfn.ORG.LIBREOFFICE.REGEX(   Q21,   "karmel\.at",   "karmel.at/dangan/" &amp; 'range-0'!AB2 )</f>
        <v>      &lt;a href="https://zaixian-tuixing.karmel.at/dangan/Advent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S21" s="4" t="str">
        <f aca="false">_xlfn.ORG.LIBREOFFICE.REGEX(   R21,   "karmel\.at",   "karmel.at/dangan/" &amp; 'range-0'!AC2 )</f>
        <v>      &lt;a href="https://zaixian-tuixing.karmel.at/dangan//dangan/Advent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T21" s="4" t="str">
        <f aca="false">_xlfn.ORG.LIBREOFFICE.REGEX(   S21,   "karmel\.at",   "karmel.at/dangan/" &amp; 'range-0'!AD2 )</f>
        <v>      &lt;a href="https://zaixian-tuixing.karmel.at/dangan//dangan//dangan/Advent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U21" s="4" t="str">
        <f aca="false">_xlfn.ORG.LIBREOFFICE.REGEX(   T21,   "karmel\.at",   "karmel.at/dangan/" &amp; 'range-0'!AE2 )</f>
        <v>      &lt;a href="https://zaixian-tuixing.karmel.at/dangan//dangan//dangan//dangan/Advent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V21" s="4" t="str">
        <f aca="false">_xlfn.ORG.LIBREOFFICE.REGEX(   U21,   "karmel\.at",   "karmel.at/dangan/" &amp; 'range-0'!AF2 )</f>
        <v>      &lt;a href="https://zaixian-tuixing.karmel.at/dangan//dangan//dangan//dangan//dangan/Advent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W21" s="4" t="str">
        <f aca="false">_xlfn.ORG.LIBREOFFICE.REGEX(   V21,   "karmel\.at",   "karmel.at/dangan/" &amp; 'range-0'!AG2 )</f>
        <v>      &lt;a href="https://zaixian-tuixing.karmel.at/dangan//dangan//dangan//dangan//dangan//dangan/Advent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c r="X21" s="4" t="str">
        <f aca="false">_xlfn.ORG.LIBREOFFICE.REGEX(   W21,   "karmel\.at",   "karmel.at/dangan/" &amp; 'range-0'!AH2 )</f>
        <v>      &lt;a href="https://zaixian-tuixing.karmel.at/dangan//dangan//dangan//dangan//dangan//dangan//dangan/Advent 2026 with Brother Lawrence of the Resurrection/dangan//dangan//dangan/Advent 2026 mit Bruder Lorenz von der Auferstehung/dangan//dangan/X:ALLGEMEIN0900 VeröffentlichungenVeröffentlichungen-aktuell2026 Advent/dangan/2027-01-03/dangan/2026-11-25/dangan/Br. Lorenz von der Auferstehung/dangan/2026_mua-vong/dangan/2026_advent/dangan/2026_advent/dangan/2026_avvent/dangan/2026_advent/dangan/2026_dosasce/dangan/2026_advent/dangan/2026_jianglinqi/" lang="zh" hreflang="zh"&gt;        &lt;span class="language-flag" aria-hidden="true"&gt;🇨🇳&lt;/span&gt;        &lt;span class="language-code"&gt;ZH&lt;/span&gt;        &lt;span&gt;中文&lt;/span&gt;      &lt;/a&gt;</v>
      </c>
    </row>
    <row r="22" customFormat="false" ht="695.5" hidden="false" customHeight="false" outlineLevel="0" collapsed="false">
      <c r="A22" s="4" t="s">
        <v>1234</v>
      </c>
      <c r="B22" s="4" t="str">
        <f aca="false">_xlfn.ORG.LIBREOFFICE.REGEX(   A22,   "karmel\.at",   "karmel.at/archiv/" &amp; 'range-0'!M2 )</f>
        <v>      &lt;a href="https://exercicie-online.karmel.at/archiv/2026_advent/" lang="cs" hreflang="cs"&gt;        &lt;span class="language-flag" aria-hidden="true"&gt;🇨🇿&lt;/span&gt;        &lt;span class="language-code"&gt;CS&lt;/span&gt;        &lt;span&gt;Čeština&lt;/span&gt;      &lt;/a&gt;</v>
      </c>
      <c r="C22" s="4" t="str">
        <f aca="false">_xlfn.ORG.LIBREOFFICE.REGEX(   B22,   "karmel\.at",   "karmel.at/archiv/" &amp; 'range-0'!N2 )</f>
        <v>      &lt;a href="https://exercicie-online.karmel.at/archiv/2026_dosasce/archiv/2026_advent/" lang="cs" hreflang="cs"&gt;        &lt;span class="language-flag" aria-hidden="true"&gt;🇨🇿&lt;/span&gt;        &lt;span class="language-code"&gt;CS&lt;/span&gt;        &lt;span&gt;Čeština&lt;/span&gt;      &lt;/a&gt;</v>
      </c>
      <c r="D22" s="4" t="str">
        <f aca="false">_xlfn.ORG.LIBREOFFICE.REGEX(   C22,   "karmel\.at",   "karmel.at/archiv/" &amp; 'range-0'!O2 )</f>
        <v>      &lt;a href="https://exercicie-online.karmel.at/archiv/2026_advent/archiv/2026_dosasce/archiv/2026_advent/" lang="cs" hreflang="cs"&gt;        &lt;span class="language-flag" aria-hidden="true"&gt;🇨🇿&lt;/span&gt;        &lt;span class="language-code"&gt;CS&lt;/span&gt;        &lt;span&gt;Čeština&lt;/span&gt;      &lt;/a&gt;</v>
      </c>
      <c r="E22" s="4" t="str">
        <f aca="false">_xlfn.ORG.LIBREOFFICE.REGEX(   D22,   "karmel\.at",   "karmel.at/archiv/" &amp; 'range-0'!P2 )</f>
        <v>      &lt;a href="https://exercicie-online.karmel.at/archiv/2026_avvent/archiv/2026_advent/archiv/2026_dosasce/archiv/2026_advent/" lang="cs" hreflang="cs"&gt;        &lt;span class="language-flag" aria-hidden="true"&gt;🇨🇿&lt;/span&gt;        &lt;span class="language-code"&gt;CS&lt;/span&gt;        &lt;span&gt;Čeština&lt;/span&gt;      &lt;/a&gt;</v>
      </c>
      <c r="F22" s="4" t="str">
        <f aca="false">_xlfn.ORG.LIBREOFFICE.REGEX(   E22,   "karmel\.at",   "karmel.at/archiv/" &amp; 'range-0'!Q2 )</f>
        <v>      &lt;a href="https://exercicie-online.karmel.at/archiv/2026_advent/archiv/2026_avvent/archiv/2026_advent/archiv/2026_dosasce/archiv/2026_advent/" lang="cs" hreflang="cs"&gt;        &lt;span class="language-flag" aria-hidden="true"&gt;🇨🇿&lt;/span&gt;        &lt;span class="language-code"&gt;CS&lt;/span&gt;        &lt;span&gt;Čeština&lt;/span&gt;      &lt;/a&gt;</v>
      </c>
      <c r="G22" s="4" t="str">
        <f aca="false">_xlfn.ORG.LIBREOFFICE.REGEX(   F22,   "karmel\.at",   "karmel.at/archiv/" &amp; 'range-0'!R2 )</f>
        <v>      &lt;a href="https://exercicie-online.karmel.at/archiv/2026_advent/archiv/2026_advent/archiv/2026_avvent/archiv/2026_advent/archiv/2026_dosasce/archiv/2026_advent/" lang="cs" hreflang="cs"&gt;        &lt;span class="language-flag" aria-hidden="true"&gt;🇨🇿&lt;/span&gt;        &lt;span class="language-code"&gt;CS&lt;/span&gt;        &lt;span&gt;Čeština&lt;/span&gt;      &lt;/a&gt;</v>
      </c>
      <c r="H22" s="4" t="str">
        <f aca="false">_xlfn.ORG.LIBREOFFICE.REGEX(   G22,   "karmel\.at",   "karmel.at/archiv/" &amp; 'range-0'!S2 )</f>
        <v>      &lt;a href="https://exercicie-online.karmel.at/archiv/2026_mua-vong/archiv/2026_advent/archiv/2026_advent/archiv/2026_avvent/archiv/2026_advent/archiv/2026_dosasce/archiv/2026_advent/" lang="cs" hreflang="cs"&gt;        &lt;span class="language-flag" aria-hidden="true"&gt;🇨🇿&lt;/span&gt;        &lt;span class="language-code"&gt;CS&lt;/span&gt;        &lt;span&gt;Čeština&lt;/span&gt;      &lt;/a&gt;</v>
      </c>
      <c r="I22" s="4" t="str">
        <f aca="false">_xlfn.ORG.LIBREOFFICE.REGEX(   H22,   "karmel\.at",   "karmel.at/archiv/" &amp; 'range-0'!T2 )</f>
        <v>      &lt;a href="https://exercicie-online.karmel.at/archiv/Br.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J22" s="4" t="str">
        <f aca="false">_xlfn.ORG.LIBREOFFICE.REGEX(   I22,   "karmel\.at",   "karmel.at/archiv/" &amp; 'range-0'!U2 )</f>
        <v>      &lt;a href="https://exercicie-online.karmel.at/archiv/2026-11-25/archiv/Br.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K22" s="4" t="str">
        <f aca="false">_xlfn.ORG.LIBREOFFICE.REGEX(   J22,   "karmel\.at",   "karmel.at/archiv/" &amp; 'range-0'!V2 )</f>
        <v>      &lt;a href="https://exercicie-online.karmel.at/archiv/2027-01-03/archiv/2026-11-25/archiv/Br.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L22" s="4" t="str">
        <f aca="false">_xlfn.ORG.LIBREOFFICE.REGEX(   K22,   "karmel\.at",   "karmel.at/archiv/" &amp; 'range-0'!W2 )</f>
        <v>      &lt;a href="https://exercicie-online.karmel.at/archiv/X:ALLGEMEIN0900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M22" s="4" t="str">
        <f aca="false">_xlfn.ORG.LIBREOFFICE.REGEX(   L22,   "karmel\.at",   "karmel.at/archiv/" &amp; 'range-0'!X2 )</f>
        <v>      &lt;a href="https://exercicie-online.karmel.at/archiv//archiv/X:ALLGEMEIN0900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N22" s="4" t="str">
        <f aca="false">_xlfn.ORG.LIBREOFFICE.REGEX(   M22,   "karmel\.at",   "karmel.at/archiv/" &amp; 'range-0'!Y2 )</f>
        <v>      &lt;a href="https://exercicie-online.karmel.at/archiv/Advent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O22" s="4" t="str">
        <f aca="false">_xlfn.ORG.LIBREOFFICE.REGEX(   N22,   "karmel\.at",   "karmel.at/archiv/" &amp; 'range-0'!Z2 )</f>
        <v>      &lt;a href="https://exercicie-online.karmel.at/archiv//archiv/Advent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P22" s="4" t="str">
        <f aca="false">_xlfn.ORG.LIBREOFFICE.REGEX(   O22,   "karmel\.at",   "karmel.at/archiv/" &amp; 'range-0'!AA2 )</f>
        <v>      &lt;a href="https://exercicie-online.karmel.at/archiv//archiv//archiv/Advent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Q22" s="4" t="str">
        <f aca="false">_xlfn.ORG.LIBREOFFICE.REGEX(   P22,   "karmel\.at",   "karmel.at/archiv/" &amp; 'range-0'!AB2 )</f>
        <v>      &lt;a href="https://exercicie-online.karmel.at/archiv/Advent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R22" s="4" t="str">
        <f aca="false">_xlfn.ORG.LIBREOFFICE.REGEX(   Q22,   "karmel\.at",   "karmel.at/archiv/" &amp; 'range-0'!AC2 )</f>
        <v>      &lt;a href="https://exercicie-online.karmel.at/archiv//archiv/Advent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S22" s="4" t="str">
        <f aca="false">_xlfn.ORG.LIBREOFFICE.REGEX(   R22,   "karmel\.at",   "karmel.at/archiv/" &amp; 'range-0'!AD2 )</f>
        <v>      &lt;a href="https://exercicie-online.karmel.at/archiv//archiv//archiv/Advent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T22" s="4" t="str">
        <f aca="false">_xlfn.ORG.LIBREOFFICE.REGEX(   S22,   "karmel\.at",   "karmel.at/archiv/" &amp; 'range-0'!AE2 )</f>
        <v>      &lt;a href="https://exercicie-online.karmel.at/archiv//archiv//archiv//archiv/Advent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U22" s="4" t="str">
        <f aca="false">_xlfn.ORG.LIBREOFFICE.REGEX(   T22,   "karmel\.at",   "karmel.at/archiv/" &amp; 'range-0'!AF2 )</f>
        <v>      &lt;a href="https://exercicie-online.karmel.at/archiv//archiv//archiv//archiv//archiv/Advent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V22" s="4" t="str">
        <f aca="false">_xlfn.ORG.LIBREOFFICE.REGEX(   U22,   "karmel\.at",   "karmel.at/archiv/" &amp; 'range-0'!AG2 )</f>
        <v>      &lt;a href="https://exercicie-online.karmel.at/archiv//archiv//archiv//archiv//archiv//archiv/Advent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W22" s="4" t="str">
        <f aca="false">_xlfn.ORG.LIBREOFFICE.REGEX(   V22,   "karmel\.at",   "karmel.at/archiv/" &amp; 'range-0'!AH2 )</f>
        <v>      &lt;a href="https://exercicie-online.karmel.at/archiv//archiv//archiv//archiv//archiv//archiv//archiv/Advent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c r="X22" s="4" t="str">
        <f aca="false">_xlfn.ORG.LIBREOFFICE.REGEX(   W22,   "karmel\.at",   "karmel.at/archiv/" &amp; 'range-0'!AI2 )</f>
        <v>      &lt;a href="https://exercicie-online.karmel.at/archiv//archiv//archiv//archiv//archiv//archiv//archiv//archiv/Advent 2026 with Brother Lawrence of the Resurrection/archiv//archiv//archiv/Advent 2026 mit Bruder Lorenz von der Auferstehung/archiv//archiv/X:ALLGEMEIN0900 VeröffentlichungenVeröffentlichungen-aktuell2026 Advent/archiv/2027-01-03/archiv/2026-11-25/archiv/Br. Lorenz von der Auferstehung/archiv/2026_mua-vong/archiv/2026_advent/archiv/2026_advent/archiv/2026_avvent/archiv/2026_advent/archiv/2026_dosasce/archiv/2026_advent/" lang="cs" hreflang="cs"&gt;        &lt;span class="language-flag" aria-hidden="true"&gt;🇨🇿&lt;/span&gt;        &lt;span class="language-code"&gt;CS&lt;/span&gt;        &lt;span&gt;Čeština&lt;/span&gt;      &lt;/a&gt;</v>
      </c>
    </row>
    <row r="23" customFormat="false" ht="695.5" hidden="false" customHeight="false" outlineLevel="0" collapsed="false">
      <c r="A23" s="4" t="s">
        <v>1235</v>
      </c>
      <c r="B23" s="4" t="str">
        <f aca="false">_xlfn.ORG.LIBREOFFICE.REGEX(   A23,   "karmel\.at",   "karmel.at/arhiva/" &amp; 'range-0'!N2 )</f>
        <v>      &lt;a href="https://online-duhovne.karmel.at/arhiva/2026_dosasce/" lang="hr" hreflang="hr"&gt;        &lt;span class="language-flag" aria-hidden="true"&gt;🇭🇷&lt;/span&gt;        &lt;span class="language-code"&gt;HR&lt;/span&gt;        &lt;span&gt;Hrvatski&lt;/span&gt;      &lt;/a&gt;</v>
      </c>
      <c r="C23" s="4" t="str">
        <f aca="false">_xlfn.ORG.LIBREOFFICE.REGEX(   B23,   "karmel\.at",   "karmel.at/arhiva/" &amp; 'range-0'!O2 )</f>
        <v>      &lt;a href="https://online-duhovne.karmel.at/arhiva/2026_advent/arhiva/2026_dosasce/" lang="hr" hreflang="hr"&gt;        &lt;span class="language-flag" aria-hidden="true"&gt;🇭🇷&lt;/span&gt;        &lt;span class="language-code"&gt;HR&lt;/span&gt;        &lt;span&gt;Hrvatski&lt;/span&gt;      &lt;/a&gt;</v>
      </c>
      <c r="D23" s="4" t="str">
        <f aca="false">_xlfn.ORG.LIBREOFFICE.REGEX(   C23,   "karmel\.at",   "karmel.at/arhiva/" &amp; 'range-0'!P2 )</f>
        <v>      &lt;a href="https://online-duhovne.karmel.at/arhiva/2026_avvent/arhiva/2026_advent/arhiva/2026_dosasce/" lang="hr" hreflang="hr"&gt;        &lt;span class="language-flag" aria-hidden="true"&gt;🇭🇷&lt;/span&gt;        &lt;span class="language-code"&gt;HR&lt;/span&gt;        &lt;span&gt;Hrvatski&lt;/span&gt;      &lt;/a&gt;</v>
      </c>
      <c r="E23" s="4" t="str">
        <f aca="false">_xlfn.ORG.LIBREOFFICE.REGEX(   D23,   "karmel\.at",   "karmel.at/arhiva/" &amp; 'range-0'!Q2 )</f>
        <v>      &lt;a href="https://online-duhovne.karmel.at/arhiva/2026_advent/arhiva/2026_avvent/arhiva/2026_advent/arhiva/2026_dosasce/" lang="hr" hreflang="hr"&gt;        &lt;span class="language-flag" aria-hidden="true"&gt;🇭🇷&lt;/span&gt;        &lt;span class="language-code"&gt;HR&lt;/span&gt;        &lt;span&gt;Hrvatski&lt;/span&gt;      &lt;/a&gt;</v>
      </c>
      <c r="F23" s="4" t="str">
        <f aca="false">_xlfn.ORG.LIBREOFFICE.REGEX(   E23,   "karmel\.at",   "karmel.at/arhiva/" &amp; 'range-0'!R2 )</f>
        <v>      &lt;a href="https://online-duhovne.karmel.at/arhiva/2026_advent/arhiva/2026_advent/arhiva/2026_avvent/arhiva/2026_advent/arhiva/2026_dosasce/" lang="hr" hreflang="hr"&gt;        &lt;span class="language-flag" aria-hidden="true"&gt;🇭🇷&lt;/span&gt;        &lt;span class="language-code"&gt;HR&lt;/span&gt;        &lt;span&gt;Hrvatski&lt;/span&gt;      &lt;/a&gt;</v>
      </c>
      <c r="G23" s="4" t="str">
        <f aca="false">_xlfn.ORG.LIBREOFFICE.REGEX(   F23,   "karmel\.at",   "karmel.at/arhiva/" &amp; 'range-0'!S2 )</f>
        <v>      &lt;a href="https://online-duhovne.karmel.at/arhiva/2026_mua-vong/arhiva/2026_advent/arhiva/2026_advent/arhiva/2026_avvent/arhiva/2026_advent/arhiva/2026_dosasce/" lang="hr" hreflang="hr"&gt;        &lt;span class="language-flag" aria-hidden="true"&gt;🇭🇷&lt;/span&gt;        &lt;span class="language-code"&gt;HR&lt;/span&gt;        &lt;span&gt;Hrvatski&lt;/span&gt;      &lt;/a&gt;</v>
      </c>
      <c r="H23" s="4" t="str">
        <f aca="false">_xlfn.ORG.LIBREOFFICE.REGEX(   G23,   "karmel\.at",   "karmel.at/arhiva/" &amp; 'range-0'!T2 )</f>
        <v>      &lt;a href="https://online-duhovne.karmel.at/arhiva/Br.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I23" s="4" t="str">
        <f aca="false">_xlfn.ORG.LIBREOFFICE.REGEX(   H23,   "karmel\.at",   "karmel.at/arhiva/" &amp; 'range-0'!U2 )</f>
        <v>      &lt;a href="https://online-duhovne.karmel.at/arhiva/2026-11-25/arhiva/Br.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J23" s="4" t="str">
        <f aca="false">_xlfn.ORG.LIBREOFFICE.REGEX(   I23,   "karmel\.at",   "karmel.at/arhiva/" &amp; 'range-0'!V2 )</f>
        <v>      &lt;a href="https://online-duhovne.karmel.at/arhiva/2027-01-03/arhiva/2026-11-25/arhiva/Br.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K23" s="4" t="str">
        <f aca="false">_xlfn.ORG.LIBREOFFICE.REGEX(   J23,   "karmel\.at",   "karmel.at/arhiva/" &amp; 'range-0'!W2 )</f>
        <v>      &lt;a href="https://online-duhovne.karmel.at/arhiva/X:ALLGEMEIN0900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L23" s="4" t="str">
        <f aca="false">_xlfn.ORG.LIBREOFFICE.REGEX(   K23,   "karmel\.at",   "karmel.at/arhiva/" &amp; 'range-0'!X2 )</f>
        <v>      &lt;a href="https://online-duhovne.karmel.at/arhiva//arhiva/X:ALLGEMEIN0900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M23" s="4" t="str">
        <f aca="false">_xlfn.ORG.LIBREOFFICE.REGEX(   L23,   "karmel\.at",   "karmel.at/arhiva/" &amp; 'range-0'!Y2 )</f>
        <v>      &lt;a href="https://online-duhovne.karmel.at/arhiva/Advent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N23" s="4" t="str">
        <f aca="false">_xlfn.ORG.LIBREOFFICE.REGEX(   M23,   "karmel\.at",   "karmel.at/arhiva/" &amp; 'range-0'!Z2 )</f>
        <v>      &lt;a href="https://online-duhovne.karmel.at/arhiva//arhiva/Advent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O23" s="4" t="str">
        <f aca="false">_xlfn.ORG.LIBREOFFICE.REGEX(   N23,   "karmel\.at",   "karmel.at/arhiva/" &amp; 'range-0'!AA2 )</f>
        <v>      &lt;a href="https://online-duhovne.karmel.at/arhiva//arhiva//arhiva/Advent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P23" s="4" t="str">
        <f aca="false">_xlfn.ORG.LIBREOFFICE.REGEX(   O23,   "karmel\.at",   "karmel.at/arhiva/" &amp; 'range-0'!AB2 )</f>
        <v>      &lt;a href="https://online-duhovne.karmel.at/arhiva/Advent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Q23" s="4" t="str">
        <f aca="false">_xlfn.ORG.LIBREOFFICE.REGEX(   P23,   "karmel\.at",   "karmel.at/arhiva/" &amp; 'range-0'!AC2 )</f>
        <v>      &lt;a href="https://online-duhovne.karmel.at/arhiva//arhiva/Advent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R23" s="4" t="str">
        <f aca="false">_xlfn.ORG.LIBREOFFICE.REGEX(   Q23,   "karmel\.at",   "karmel.at/arhiva/" &amp; 'range-0'!AD2 )</f>
        <v>      &lt;a href="https://online-duhovne.karmel.at/arhiva//arhiva//arhiva/Advent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S23" s="4" t="str">
        <f aca="false">_xlfn.ORG.LIBREOFFICE.REGEX(   R23,   "karmel\.at",   "karmel.at/arhiva/" &amp; 'range-0'!AE2 )</f>
        <v>      &lt;a href="https://online-duhovne.karmel.at/arhiva//arhiva//arhiva//arhiva/Advent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T23" s="4" t="str">
        <f aca="false">_xlfn.ORG.LIBREOFFICE.REGEX(   S23,   "karmel\.at",   "karmel.at/arhiva/" &amp; 'range-0'!AF2 )</f>
        <v>      &lt;a href="https://online-duhovne.karmel.at/arhiva//arhiva//arhiva//arhiva//arhiva/Advent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U23" s="4" t="str">
        <f aca="false">_xlfn.ORG.LIBREOFFICE.REGEX(   T23,   "karmel\.at",   "karmel.at/arhiva/" &amp; 'range-0'!AG2 )</f>
        <v>      &lt;a href="https://online-duhovne.karmel.at/arhiva//arhiva//arhiva//arhiva//arhiva//arhiva/Advent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V23" s="4" t="str">
        <f aca="false">_xlfn.ORG.LIBREOFFICE.REGEX(   U23,   "karmel\.at",   "karmel.at/arhiva/" &amp; 'range-0'!AH2 )</f>
        <v>      &lt;a href="https://online-duhovne.karmel.at/arhiva//arhiva//arhiva//arhiva//arhiva//arhiva//arhiva/Advent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W23" s="4" t="str">
        <f aca="false">_xlfn.ORG.LIBREOFFICE.REGEX(   V23,   "karmel\.at",   "karmel.at/arhiva/" &amp; 'range-0'!AI2 )</f>
        <v>      &lt;a href="https://online-duhovne.karmel.at/arhiva//arhiva//arhiva//arhiva//arhiva//arhiva//arhiva//arhiva/Advent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c r="X23" s="4" t="str">
        <f aca="false">_xlfn.ORG.LIBREOFFICE.REGEX(   W23,   "karmel\.at",   "karmel.at/arhiva/" &amp; 'range-0'!AJ2 )</f>
        <v>      &lt;a href="https://online-duhovne.karmel.at/arhiva//arhiva//arhiva//arhiva//arhiva//arhiva//arhiva//arhiva//arhiva/Advent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Auferstehung/arhiva/2026_mua-vong/arhiva/2026_advent/arhiva/2026_advent/arhiva/2026_avvent/arhiva/2026_advent/arhiva/2026_dosasce/" lang="hr" hreflang="hr"&gt;        &lt;span class="language-flag" aria-hidden="true"&gt;🇭🇷&lt;/span&gt;        &lt;span class="language-code"&gt;HR&lt;/span&gt;        &lt;span&gt;Hrvatski&lt;/span&gt;      &lt;/a&gt;</v>
      </c>
    </row>
    <row r="24" customFormat="false" ht="751.45" hidden="false" customHeight="false" outlineLevel="0" collapsed="false">
      <c r="A24" s="4" t="s">
        <v>1236</v>
      </c>
      <c r="B24" s="4" t="str">
        <f aca="false">_xlfn.ORG.LIBREOFFICE.REGEX(   A24,   "karmel\.at",   "karmel.at/archivum/" &amp; 'range-0'!O2 )</f>
        <v>      &lt;a href="https://online-lelkigyakorlat.karmel.at/archivum/2026_advent/" lang="hu" hreflang="hu"&gt;        &lt;span class="language-flag" aria-hidden="true"&gt;🇭🇺&lt;/span&gt;        &lt;span class="language-code"&gt;HU&lt;/span&gt;        &lt;span&gt;Magyar&lt;/span&gt;      &lt;/a&gt;</v>
      </c>
      <c r="C24" s="4" t="str">
        <f aca="false">_xlfn.ORG.LIBREOFFICE.REGEX(   B24,   "karmel\.at",   "karmel.at/archivum/" &amp; 'range-0'!P2 )</f>
        <v>      &lt;a href="https://online-lelkigyakorlat.karmel.at/archivum/2026_avvent/archivum/2026_advent/" lang="hu" hreflang="hu"&gt;        &lt;span class="language-flag" aria-hidden="true"&gt;🇭🇺&lt;/span&gt;        &lt;span class="language-code"&gt;HU&lt;/span&gt;        &lt;span&gt;Magyar&lt;/span&gt;      &lt;/a&gt;</v>
      </c>
      <c r="D24" s="4" t="str">
        <f aca="false">_xlfn.ORG.LIBREOFFICE.REGEX(   C24,   "karmel\.at",   "karmel.at/archivum/" &amp; 'range-0'!Q2 )</f>
        <v>      &lt;a href="https://online-lelkigyakorlat.karmel.at/archivum/2026_advent/archivum/2026_avvent/archivum/2026_advent/" lang="hu" hreflang="hu"&gt;        &lt;span class="language-flag" aria-hidden="true"&gt;🇭🇺&lt;/span&gt;        &lt;span class="language-code"&gt;HU&lt;/span&gt;        &lt;span&gt;Magyar&lt;/span&gt;      &lt;/a&gt;</v>
      </c>
      <c r="E24" s="4" t="str">
        <f aca="false">_xlfn.ORG.LIBREOFFICE.REGEX(   D24,   "karmel\.at",   "karmel.at/archivum/" &amp; 'range-0'!R2 )</f>
        <v>      &lt;a href="https://online-lelkigyakorlat.karmel.at/archivum/2026_advent/archivum/2026_advent/archivum/2026_avvent/archivum/2026_advent/" lang="hu" hreflang="hu"&gt;        &lt;span class="language-flag" aria-hidden="true"&gt;🇭🇺&lt;/span&gt;        &lt;span class="language-code"&gt;HU&lt;/span&gt;        &lt;span&gt;Magyar&lt;/span&gt;      &lt;/a&gt;</v>
      </c>
      <c r="F24" s="4" t="str">
        <f aca="false">_xlfn.ORG.LIBREOFFICE.REGEX(   E24,   "karmel\.at",   "karmel.at/archivum/" &amp; 'range-0'!S2 )</f>
        <v>      &lt;a href="https://online-lelkigyakorlat.karmel.at/archivum/2026_mua-vong/archivum/2026_advent/archivum/2026_advent/archivum/2026_avvent/archivum/2026_advent/" lang="hu" hreflang="hu"&gt;        &lt;span class="language-flag" aria-hidden="true"&gt;🇭🇺&lt;/span&gt;        &lt;span class="language-code"&gt;HU&lt;/span&gt;        &lt;span&gt;Magyar&lt;/span&gt;      &lt;/a&gt;</v>
      </c>
      <c r="G24" s="4" t="str">
        <f aca="false">_xlfn.ORG.LIBREOFFICE.REGEX(   F24,   "karmel\.at",   "karmel.at/archivum/" &amp; 'range-0'!T2 )</f>
        <v>      &lt;a href="https://online-lelkigyakorlat.karmel.at/archivum/Br. Lorenz von der Auferstehung/archivum/2026_mua-vong/archivum/2026_advent/archivum/2026_advent/archivum/2026_avvent/archivum/2026_advent/" lang="hu" hreflang="hu"&gt;        &lt;span class="language-flag" aria-hidden="true"&gt;🇭🇺&lt;/span&gt;        &lt;span class="language-code"&gt;HU&lt;/span&gt;        &lt;span&gt;Magyar&lt;/span&gt;      &lt;/a&gt;</v>
      </c>
      <c r="H24" s="4" t="str">
        <f aca="false">_xlfn.ORG.LIBREOFFICE.REGEX(   G24,   "karmel\.at",   "karmel.at/archivum/" &amp; 'range-0'!U2 )</f>
        <v>      &lt;a href="https://online-lelkigyakorlat.karmel.at/archivum/2026-11-25/archivum/Br.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I24" s="4" t="str">
        <f aca="false">_xlfn.ORG.LIBREOFFICE.REGEX(   H24,   "karmel\.at",   "karmel.at/archivum/" &amp; 'range-0'!V2 )</f>
        <v>      &lt;a href="https://online-lelkigyakorlat.karmel.at/archivum/2027-01-03/archivum/2026-11-25/archivum/Br.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J24" s="4" t="str">
        <f aca="false">_xlfn.ORG.LIBREOFFICE.REGEX(   I24,   "karmel\.at",   "karmel.at/archivum/" &amp; 'range-0'!W2 )</f>
        <v>      &lt;a href="https://online-lelkigyakorlat.karmel.at/archivum/X:ALLGEMEIN0900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K24" s="4" t="str">
        <f aca="false">_xlfn.ORG.LIBREOFFICE.REGEX(   J24,   "karmel\.at",   "karmel.at/archivum/" &amp; 'range-0'!X2 )</f>
        <v>      &lt;a href="https://online-lelkigyakorlat.karmel.at/archivum//archivum/X:ALLGEMEIN0900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L24" s="4" t="str">
        <f aca="false">_xlfn.ORG.LIBREOFFICE.REGEX(   K24,   "karmel\.at",   "karmel.at/archivum/" &amp; 'range-0'!Y2 )</f>
        <v>      &lt;a href="https://online-lelkigyakorlat.karmel.at/archivum/Advent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M24" s="4" t="str">
        <f aca="false">_xlfn.ORG.LIBREOFFICE.REGEX(   L24,   "karmel\.at",   "karmel.at/archivum/" &amp; 'range-0'!Z2 )</f>
        <v>      &lt;a href="https://online-lelkigyakorlat.karmel.at/archivum//archivum/Advent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N24" s="4" t="str">
        <f aca="false">_xlfn.ORG.LIBREOFFICE.REGEX(   M24,   "karmel\.at",   "karmel.at/archivum/" &amp; 'range-0'!AA2 )</f>
        <v>      &lt;a href="https://online-lelkigyakorlat.karmel.at/archivum//archivum//archivum/Advent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O24" s="4" t="str">
        <f aca="false">_xlfn.ORG.LIBREOFFICE.REGEX(   N24,   "karmel\.at",   "karmel.at/archivum/" &amp; 'range-0'!AB2 )</f>
        <v>      &lt;a href="https://online-lelkigyakorlat.karmel.at/archivum/Advent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P24" s="4" t="str">
        <f aca="false">_xlfn.ORG.LIBREOFFICE.REGEX(   O24,   "karmel\.at",   "karmel.at/archivum/" &amp; 'range-0'!AC2 )</f>
        <v>      &lt;a href="https://online-lelkigyakorlat.karmel.at/archivum//archivum/Advent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Q24" s="4" t="str">
        <f aca="false">_xlfn.ORG.LIBREOFFICE.REGEX(   P24,   "karmel\.at",   "karmel.at/archivum/" &amp; 'range-0'!AD2 )</f>
        <v>      &lt;a href="https://online-lelkigyakorlat.karmel.at/archivum//archivum//archivum/Advent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R24" s="4" t="str">
        <f aca="false">_xlfn.ORG.LIBREOFFICE.REGEX(   Q24,   "karmel\.at",   "karmel.at/archivum/" &amp; 'range-0'!AE2 )</f>
        <v>      &lt;a href="https://online-lelkigyakorlat.karmel.at/archivum//archivum//archivum//archivum/Advent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S24" s="4" t="str">
        <f aca="false">_xlfn.ORG.LIBREOFFICE.REGEX(   R24,   "karmel\.at",   "karmel.at/archivum/" &amp; 'range-0'!AF2 )</f>
        <v>      &lt;a href="https://online-lelkigyakorlat.karmel.at/archivum//archivum//archivum//archivum//archivum/Advent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T24" s="4" t="str">
        <f aca="false">_xlfn.ORG.LIBREOFFICE.REGEX(   S24,   "karmel\.at",   "karmel.at/archivum/" &amp; 'range-0'!AG2 )</f>
        <v>      &lt;a href="https://online-lelkigyakorlat.karmel.at/archivum//archivum//archivum//archivum//archivum//archivum/Advent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U24" s="4" t="str">
        <f aca="false">_xlfn.ORG.LIBREOFFICE.REGEX(   T24,   "karmel\.at",   "karmel.at/archivum/" &amp; 'range-0'!AH2 )</f>
        <v>      &lt;a href="https://online-lelkigyakorlat.karmel.at/archivum//archivum//archivum//archivum//archivum//archivum//archivum/Advent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V24" s="4" t="str">
        <f aca="false">_xlfn.ORG.LIBREOFFICE.REGEX(   U24,   "karmel\.at",   "karmel.at/archivum/" &amp; 'range-0'!AI2 )</f>
        <v>      &lt;a href="https://online-lelkigyakorlat.karmel.at/archivum//archivum//archivum//archivum//archivum//archivum//archivum//archivum/Advent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W24" s="4" t="str">
        <f aca="false">_xlfn.ORG.LIBREOFFICE.REGEX(   V24,   "karmel\.at",   "karmel.at/archivum/" &amp; 'range-0'!AJ2 )</f>
        <v>      &lt;a href="https://online-lelkigyakorlat.karmel.at/archivum//archivum//archivum//archivum//archivum//archivum//archivum//archivum//archivum/Advent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c r="X24" s="4" t="str">
        <f aca="false">_xlfn.ORG.LIBREOFFICE.REGEX(   W24,   "karmel\.at",   "karmel.at/archivum/" &amp; 'range-0'!AK2 )</f>
        <v>      &lt;a href="https://online-lelkigyakorlat.karmel.at/archivum//archivum//archivum//archivum//archivum//archivum//archivum//archivum//archivum//archivum/Advent 2026 with Brother Lawrence of the Resurrection/archivum//archivum//archivum/Advent 2026 mit Bruder Lorenz von der Auferstehung/archivum//archivum/X:ALLGEMEIN0900 VeröffentlichungenVeröffentlichungen-aktuell2026 Advent/archivum/2027-01-03/archivum/2026-11-25/archivum/Br. Lorenz von der Auferstehung/archivum/2026_mua-vong/archivum/2026_advent/archivum/2026_advent/archivum/2026_avvent/archivum/2026_advent/" lang="hu" hreflang="hu"&gt;        &lt;span class="language-flag" aria-hidden="true"&gt;🇭🇺&lt;/span&gt;        &lt;span class="language-code"&gt;HU&lt;/span&gt;        &lt;span&gt;Magyar&lt;/span&gt;      &lt;/a&gt;</v>
      </c>
    </row>
    <row r="25" customFormat="false" ht="673.1" hidden="false" customHeight="false" outlineLevel="0" collapsed="false">
      <c r="A25" s="4" t="s">
        <v>1237</v>
      </c>
      <c r="B25" s="4" t="str">
        <f aca="false">_xlfn.ORG.LIBREOFFICE.REGEX(   A25,   "karmel\.at",   "karmel.at/arkivju/" &amp; 'range-0'!P2 )</f>
        <v>      &lt;a href="https://irtir-karmelitan-onlajn.karmel.at/arkivju/2026_avvent/" lang="mt" hreflang="mt"&gt;        &lt;span class="language-flag" aria-hidden="true"&gt;🇲🇹&lt;/span&gt;        &lt;span class="language-code"&gt;MT&lt;/span&gt;        &lt;span&gt;Malti&lt;/span&gt;      &lt;/a&gt;</v>
      </c>
      <c r="C25" s="4" t="str">
        <f aca="false">_xlfn.ORG.LIBREOFFICE.REGEX(   B25,   "karmel\.at",   "karmel.at/arkivju/" &amp; 'range-0'!Q2 )</f>
        <v>      &lt;a href="https://irtir-karmelitan-onlajn.karmel.at/arkivju/2026_advent/arkivju/2026_avvent/" lang="mt" hreflang="mt"&gt;        &lt;span class="language-flag" aria-hidden="true"&gt;🇲🇹&lt;/span&gt;        &lt;span class="language-code"&gt;MT&lt;/span&gt;        &lt;span&gt;Malti&lt;/span&gt;      &lt;/a&gt;</v>
      </c>
      <c r="D25" s="4" t="str">
        <f aca="false">_xlfn.ORG.LIBREOFFICE.REGEX(   C25,   "karmel\.at",   "karmel.at/arkivju/" &amp; 'range-0'!R2 )</f>
        <v>      &lt;a href="https://irtir-karmelitan-onlajn.karmel.at/arkivju/2026_advent/arkivju/2026_advent/arkivju/2026_avvent/" lang="mt" hreflang="mt"&gt;        &lt;span class="language-flag" aria-hidden="true"&gt;🇲🇹&lt;/span&gt;        &lt;span class="language-code"&gt;MT&lt;/span&gt;        &lt;span&gt;Malti&lt;/span&gt;      &lt;/a&gt;</v>
      </c>
      <c r="E25" s="4" t="str">
        <f aca="false">_xlfn.ORG.LIBREOFFICE.REGEX(   D25,   "karmel\.at",   "karmel.at/arkivju/" &amp; 'range-0'!S2 )</f>
        <v>      &lt;a href="https://irtir-karmelitan-onlajn.karmel.at/arkivju/2026_mua-vong/arkivju/2026_advent/arkivju/2026_advent/arkivju/2026_avvent/" lang="mt" hreflang="mt"&gt;        &lt;span class="language-flag" aria-hidden="true"&gt;🇲🇹&lt;/span&gt;        &lt;span class="language-code"&gt;MT&lt;/span&gt;        &lt;span&gt;Malti&lt;/span&gt;      &lt;/a&gt;</v>
      </c>
      <c r="F25" s="4" t="str">
        <f aca="false">_xlfn.ORG.LIBREOFFICE.REGEX(   E25,   "karmel\.at",   "karmel.at/arkivju/" &amp; 'range-0'!T2 )</f>
        <v>      &lt;a href="https://irtir-karmelitan-onlajn.karmel.at/arkivju/Br. Lorenz von der Auferstehung/arkivju/2026_mua-vong/arkivju/2026_advent/arkivju/2026_advent/arkivju/2026_avvent/" lang="mt" hreflang="mt"&gt;        &lt;span class="language-flag" aria-hidden="true"&gt;🇲🇹&lt;/span&gt;        &lt;span class="language-code"&gt;MT&lt;/span&gt;        &lt;span&gt;Malti&lt;/span&gt;      &lt;/a&gt;</v>
      </c>
      <c r="G25" s="4" t="str">
        <f aca="false">_xlfn.ORG.LIBREOFFICE.REGEX(   F25,   "karmel\.at",   "karmel.at/arkivju/" &amp; 'range-0'!U2 )</f>
        <v>      &lt;a href="https://irtir-karmelitan-onlajn.karmel.at/arkivju/2026-11-25/arkivju/Br. Lorenz von der Auferstehung/arkivju/2026_mua-vong/arkivju/2026_advent/arkivju/2026_advent/arkivju/2026_avvent/" lang="mt" hreflang="mt"&gt;        &lt;span class="language-flag" aria-hidden="true"&gt;🇲🇹&lt;/span&gt;        &lt;span class="language-code"&gt;MT&lt;/span&gt;        &lt;span&gt;Malti&lt;/span&gt;      &lt;/a&gt;</v>
      </c>
      <c r="H25" s="4" t="str">
        <f aca="false">_xlfn.ORG.LIBREOFFICE.REGEX(   G25,   "karmel\.at",   "karmel.at/arkivju/" &amp; 'range-0'!V2 )</f>
        <v>      &lt;a href="https://irtir-karmelitan-onlajn.karmel.at/arkivju/2027-01-03/arkivju/2026-11-25/arkivju/Br.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I25" s="4" t="str">
        <f aca="false">_xlfn.ORG.LIBREOFFICE.REGEX(   H25,   "karmel\.at",   "karmel.at/arkivju/" &amp; 'range-0'!W2 )</f>
        <v>      &lt;a href="https://irtir-karmelitan-onlajn.karmel.at/arkivju/X:ALLGEMEIN0900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J25" s="4" t="str">
        <f aca="false">_xlfn.ORG.LIBREOFFICE.REGEX(   I25,   "karmel\.at",   "karmel.at/arkivju/" &amp; 'range-0'!X2 )</f>
        <v>      &lt;a href="https://irtir-karmelitan-onlajn.karmel.at/arkivju//arkivju/X:ALLGEMEIN0900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K25" s="4" t="str">
        <f aca="false">_xlfn.ORG.LIBREOFFICE.REGEX(   J25,   "karmel\.at",   "karmel.at/arkivju/" &amp; 'range-0'!Y2 )</f>
        <v>      &lt;a href="https://irtir-karmelitan-onlajn.karmel.at/arkivju/Advent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L25" s="4" t="str">
        <f aca="false">_xlfn.ORG.LIBREOFFICE.REGEX(   K25,   "karmel\.at",   "karmel.at/arkivju/" &amp; 'range-0'!Z2 )</f>
        <v>      &lt;a href="https://irtir-karmelitan-onlajn.karmel.at/arkivju//arkivju/Advent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M25" s="4" t="str">
        <f aca="false">_xlfn.ORG.LIBREOFFICE.REGEX(   L25,   "karmel\.at",   "karmel.at/arkivju/" &amp; 'range-0'!AA2 )</f>
        <v>      &lt;a href="https://irtir-karmelitan-onlajn.karmel.at/arkivju//arkivju//arkivju/Advent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N25" s="4" t="str">
        <f aca="false">_xlfn.ORG.LIBREOFFICE.REGEX(   M25,   "karmel\.at",   "karmel.at/arkivju/" &amp; 'range-0'!AB2 )</f>
        <v>      &lt;a href="https://irtir-karmelitan-onlajn.karmel.at/arkivju/Advent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O25" s="4" t="str">
        <f aca="false">_xlfn.ORG.LIBREOFFICE.REGEX(   N25,   "karmel\.at",   "karmel.at/arkivju/" &amp; 'range-0'!AC2 )</f>
        <v>      &lt;a href="https://irtir-karmelitan-onlajn.karmel.at/arkivju//arkivju/Advent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P25" s="4" t="str">
        <f aca="false">_xlfn.ORG.LIBREOFFICE.REGEX(   O25,   "karmel\.at",   "karmel.at/arkivju/" &amp; 'range-0'!AD2 )</f>
        <v>      &lt;a href="https://irtir-karmelitan-onlajn.karmel.at/arkivju//arkivju//arkivju/Advent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Q25" s="4" t="str">
        <f aca="false">_xlfn.ORG.LIBREOFFICE.REGEX(   P25,   "karmel\.at",   "karmel.at/arkivju/" &amp; 'range-0'!AE2 )</f>
        <v>      &lt;a href="https://irtir-karmelitan-onlajn.karmel.at/arkivju//arkivju//arkivju//arkivju/Advent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R25" s="4" t="str">
        <f aca="false">_xlfn.ORG.LIBREOFFICE.REGEX(   Q25,   "karmel\.at",   "karmel.at/arkivju/" &amp; 'range-0'!AF2 )</f>
        <v>      &lt;a href="https://irtir-karmelitan-onlajn.karmel.at/arkivju//arkivju//arkivju//arkivju//arkivju/Advent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S25" s="4" t="str">
        <f aca="false">_xlfn.ORG.LIBREOFFICE.REGEX(   R25,   "karmel\.at",   "karmel.at/arkivju/" &amp; 'range-0'!AG2 )</f>
        <v>      &lt;a href="https://irtir-karmelitan-onlajn.karmel.at/arkivju//arkivju//arkivju//arkivju//arkivju//arkivju/Advent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T25" s="4" t="str">
        <f aca="false">_xlfn.ORG.LIBREOFFICE.REGEX(   S25,   "karmel\.at",   "karmel.at/arkivju/" &amp; 'range-0'!AH2 )</f>
        <v>      &lt;a href="https://irtir-karmelitan-onlajn.karmel.at/arkivju//arkivju//arkivju//arkivju//arkivju//arkivju//arkivju/Advent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U25" s="4" t="str">
        <f aca="false">_xlfn.ORG.LIBREOFFICE.REGEX(   T25,   "karmel\.at",   "karmel.at/arkivju/" &amp; 'range-0'!AI2 )</f>
        <v>      &lt;a href="https://irtir-karmelitan-onlajn.karmel.at/arkivju//arkivju//arkivju//arkivju//arkivju//arkivju//arkivju//arkivju/Advent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V25" s="4" t="str">
        <f aca="false">_xlfn.ORG.LIBREOFFICE.REGEX(   U25,   "karmel\.at",   "karmel.at/arkivju/" &amp; 'range-0'!AJ2 )</f>
        <v>      &lt;a href="https://irtir-karmelitan-onlajn.karmel.at/arkivju//arkivju//arkivju//arkivju//arkivju//arkivju//arkivju//arkivju//arkivju/Advent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W25" s="4" t="str">
        <f aca="false">_xlfn.ORG.LIBREOFFICE.REGEX(   V25,   "karmel\.at",   "karmel.at/arkivju/" &amp; 'range-0'!AK2 )</f>
        <v>      &lt;a href="https://irtir-karmelitan-onlajn.karmel.at/arkivju//arkivju//arkivju//arkivju//arkivju//arkivju//arkivju//arkivju//arkivju//arkivju/Advent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c r="X25" s="4" t="str">
        <f aca="false">_xlfn.ORG.LIBREOFFICE.REGEX(   W25,   "karmel\.at",   "karmel.at/arkivju/" &amp; 'range-0'!AL2 )</f>
        <v>      &lt;a href="https://irtir-karmelitan-onlajn.karmel.at/arkivju//arkivju//arkivju//arkivju//arkivju//arkivju//arkivju//arkivju//arkivju//arkivju//arkivju/Advent 2026 with Brother Lawrence of the Resurrection/arkivju//arkivju//arkivju/Advent 2026 mit Bruder Lorenz von der Auferstehung/arkivju//arkivju/X:ALLGEMEIN0900 VeröffentlichungenVeröffentlichungen-aktuell2026 Advent/arkivju/2027-01-03/arkivju/2026-11-25/arkivju/Br. Lorenz von der Auferstehung/arkivju/2026_mua-vong/arkivju/2026_advent/arkivju/2026_advent/arkivju/2026_avvent/" lang="mt" hreflang="mt"&gt;        &lt;span class="language-flag" aria-hidden="true"&gt;🇲🇹&lt;/span&gt;        &lt;span class="language-code"&gt;MT&lt;/span&gt;        &lt;span&gt;Malti&lt;/span&gt;      &lt;/a&gt;</v>
      </c>
    </row>
    <row r="26" customFormat="false" ht="661.9" hidden="false" customHeight="false" outlineLevel="0" collapsed="false">
      <c r="A26" s="4" t="s">
        <v>1238</v>
      </c>
      <c r="B26" s="4" t="str">
        <f aca="false">_xlfn.ORG.LIBREOFFICE.REGEX(   A26,   "karmel\.at",   "karmel.at/archief/" &amp; 'range-0'!Q2 )</f>
        <v>      &lt;a href="https://retraitenl.karmel.at/archief/2026_advent/" lang="nl" hreflang="nl"&gt;        &lt;span class="language-flag" aria-hidden="true"&gt;🇳🇱&lt;/span&gt;        &lt;span class="language-code"&gt;NL&lt;/span&gt;        &lt;span&gt;Nederlands&lt;/span&gt;      &lt;/a&gt;</v>
      </c>
      <c r="C26" s="4" t="str">
        <f aca="false">_xlfn.ORG.LIBREOFFICE.REGEX(   B26,   "karmel\.at",   "karmel.at/archief/" &amp; 'range-0'!R2 )</f>
        <v>      &lt;a href="https://retraitenl.karmel.at/archief/2026_advent/archief/2026_advent/" lang="nl" hreflang="nl"&gt;        &lt;span class="language-flag" aria-hidden="true"&gt;🇳🇱&lt;/span&gt;        &lt;span class="language-code"&gt;NL&lt;/span&gt;        &lt;span&gt;Nederlands&lt;/span&gt;      &lt;/a&gt;</v>
      </c>
      <c r="D26" s="4" t="str">
        <f aca="false">_xlfn.ORG.LIBREOFFICE.REGEX(   C26,   "karmel\.at",   "karmel.at/archief/" &amp; 'range-0'!S2 )</f>
        <v>      &lt;a href="https://retraitenl.karmel.at/archief/2026_mua-vong/archief/2026_advent/archief/2026_advent/" lang="nl" hreflang="nl"&gt;        &lt;span class="language-flag" aria-hidden="true"&gt;🇳🇱&lt;/span&gt;        &lt;span class="language-code"&gt;NL&lt;/span&gt;        &lt;span&gt;Nederlands&lt;/span&gt;      &lt;/a&gt;</v>
      </c>
      <c r="E26" s="4" t="str">
        <f aca="false">_xlfn.ORG.LIBREOFFICE.REGEX(   D26,   "karmel\.at",   "karmel.at/archief/" &amp; 'range-0'!T2 )</f>
        <v>      &lt;a href="https://retraitenl.karmel.at/archief/Br. Lorenz von der Auferstehung/archief/2026_mua-vong/archief/2026_advent/archief/2026_advent/" lang="nl" hreflang="nl"&gt;        &lt;span class="language-flag" aria-hidden="true"&gt;🇳🇱&lt;/span&gt;        &lt;span class="language-code"&gt;NL&lt;/span&gt;        &lt;span&gt;Nederlands&lt;/span&gt;      &lt;/a&gt;</v>
      </c>
      <c r="F26" s="4" t="str">
        <f aca="false">_xlfn.ORG.LIBREOFFICE.REGEX(   E26,   "karmel\.at",   "karmel.at/archief/" &amp; 'range-0'!U2 )</f>
        <v>      &lt;a href="https://retraitenl.karmel.at/archief/2026-11-25/archief/Br. Lorenz von der Auferstehung/archief/2026_mua-vong/archief/2026_advent/archief/2026_advent/" lang="nl" hreflang="nl"&gt;        &lt;span class="language-flag" aria-hidden="true"&gt;🇳🇱&lt;/span&gt;        &lt;span class="language-code"&gt;NL&lt;/span&gt;        &lt;span&gt;Nederlands&lt;/span&gt;      &lt;/a&gt;</v>
      </c>
      <c r="G26" s="4" t="str">
        <f aca="false">_xlfn.ORG.LIBREOFFICE.REGEX(   F26,   "karmel\.at",   "karmel.at/archief/" &amp; 'range-0'!V2 )</f>
        <v>      &lt;a href="https://retraitenl.karmel.at/archief/2027-01-03/archief/2026-11-25/archief/Br. Lorenz von der Auferstehung/archief/2026_mua-vong/archief/2026_advent/archief/2026_advent/" lang="nl" hreflang="nl"&gt;        &lt;span class="language-flag" aria-hidden="true"&gt;🇳🇱&lt;/span&gt;        &lt;span class="language-code"&gt;NL&lt;/span&gt;        &lt;span&gt;Nederlands&lt;/span&gt;      &lt;/a&gt;</v>
      </c>
      <c r="H26" s="4" t="str">
        <f aca="false">_xlfn.ORG.LIBREOFFICE.REGEX(   G26,   "karmel\.at",   "karmel.at/archief/" &amp; 'range-0'!W2 )</f>
        <v>      &lt;a href="https://retraitenl.karmel.at/archief/X:ALLGEMEIN0900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I26" s="4" t="str">
        <f aca="false">_xlfn.ORG.LIBREOFFICE.REGEX(   H26,   "karmel\.at",   "karmel.at/archief/" &amp; 'range-0'!X2 )</f>
        <v>      &lt;a href="https://retraitenl.karmel.at/archief//archief/X:ALLGEMEIN0900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J26" s="4" t="str">
        <f aca="false">_xlfn.ORG.LIBREOFFICE.REGEX(   I26,   "karmel\.at",   "karmel.at/archief/" &amp; 'range-0'!Y2 )</f>
        <v>      &lt;a href="https://retraitenl.karmel.at/archief/Advent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K26" s="4" t="str">
        <f aca="false">_xlfn.ORG.LIBREOFFICE.REGEX(   J26,   "karmel\.at",   "karmel.at/archief/" &amp; 'range-0'!Z2 )</f>
        <v>      &lt;a href="https://retraitenl.karmel.at/archief//archief/Advent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L26" s="4" t="str">
        <f aca="false">_xlfn.ORG.LIBREOFFICE.REGEX(   K26,   "karmel\.at",   "karmel.at/archief/" &amp; 'range-0'!AA2 )</f>
        <v>      &lt;a href="https://retraitenl.karmel.at/archief//archief//archief/Advent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M26" s="4" t="str">
        <f aca="false">_xlfn.ORG.LIBREOFFICE.REGEX(   L26,   "karmel\.at",   "karmel.at/archief/" &amp; 'range-0'!AB2 )</f>
        <v>      &lt;a href="https://retraitenl.karmel.at/archief/Advent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N26" s="4" t="str">
        <f aca="false">_xlfn.ORG.LIBREOFFICE.REGEX(   M26,   "karmel\.at",   "karmel.at/archief/" &amp; 'range-0'!AC2 )</f>
        <v>      &lt;a href="https://retraitenl.karmel.at/archief//archief/Advent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O26" s="4" t="str">
        <f aca="false">_xlfn.ORG.LIBREOFFICE.REGEX(   N26,   "karmel\.at",   "karmel.at/archief/" &amp; 'range-0'!AD2 )</f>
        <v>      &lt;a href="https://retraitenl.karmel.at/archief//archief//archief/Advent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P26" s="4" t="str">
        <f aca="false">_xlfn.ORG.LIBREOFFICE.REGEX(   O26,   "karmel\.at",   "karmel.at/archief/" &amp; 'range-0'!AE2 )</f>
        <v>      &lt;a href="https://retraitenl.karmel.at/archief//archief//archief//archief/Advent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Q26" s="4" t="str">
        <f aca="false">_xlfn.ORG.LIBREOFFICE.REGEX(   P26,   "karmel\.at",   "karmel.at/archief/" &amp; 'range-0'!AF2 )</f>
        <v>      &lt;a href="https://retraitenl.karmel.at/archief//archief//archief//archief//archief/Advent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R26" s="4" t="str">
        <f aca="false">_xlfn.ORG.LIBREOFFICE.REGEX(   Q26,   "karmel\.at",   "karmel.at/archief/" &amp; 'range-0'!AG2 )</f>
        <v>      &lt;a href="https://retraitenl.karmel.at/archief//archief//archief//archief//archief//archief/Advent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S26" s="4" t="str">
        <f aca="false">_xlfn.ORG.LIBREOFFICE.REGEX(   R26,   "karmel\.at",   "karmel.at/archief/" &amp; 'range-0'!AH2 )</f>
        <v>      &lt;a href="https://retraitenl.karmel.at/archief//archief//archief//archief//archief//archief//archief/Advent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T26" s="4" t="str">
        <f aca="false">_xlfn.ORG.LIBREOFFICE.REGEX(   S26,   "karmel\.at",   "karmel.at/archief/" &amp; 'range-0'!AI2 )</f>
        <v>      &lt;a href="https://retraitenl.karmel.at/archief//archief//archief//archief//archief//archief//archief//archief/Advent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U26" s="4" t="str">
        <f aca="false">_xlfn.ORG.LIBREOFFICE.REGEX(   T26,   "karmel\.at",   "karmel.at/archief/" &amp; 'range-0'!AJ2 )</f>
        <v>      &lt;a href="https://retraitenl.karmel.at/archief//archief//archief//archief//archief//archief//archief//archief//archief/Advent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V26" s="4" t="str">
        <f aca="false">_xlfn.ORG.LIBREOFFICE.REGEX(   U26,   "karmel\.at",   "karmel.at/archief/" &amp; 'range-0'!AK2 )</f>
        <v>      &lt;a href="https://retraitenl.karmel.at/archief//archief//archief//archief//archief//archief//archief//archief//archief//archief/Advent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W26" s="4" t="str">
        <f aca="false">_xlfn.ORG.LIBREOFFICE.REGEX(   V26,   "karmel\.at",   "karmel.at/archief/" &amp; 'range-0'!AL2 )</f>
        <v>      &lt;a href="https://retraitenl.karmel.at/archief//archief//archief//archief//archief//archief//archief//archief//archief//archief//archief/Advent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c r="X26" s="4" t="str">
        <f aca="false">_xlfn.ORG.LIBREOFFICE.REGEX(   W26,   "karmel\.at",   "karmel.at/archief/" &amp; 'range-0'!AM2 )</f>
        <v>      &lt;a href="https://retraitenl.karmel.at/archief//archief//archief//archief//archief//archief//archief//archief//archief//archief//archief//archief/Advent 2026 with Brother Lawrence of the Resurrection/archief//archief//archief/Advent 2026 mit Bruder Lorenz von der Auferstehung/archief//archief/X:ALLGEMEIN0900 VeröffentlichungenVeröffentlichungen-aktuell2026 Advent/archief/2027-01-03/archief/2026-11-25/archief/Br. Lorenz von der Auferstehung/archief/2026_mua-vong/archief/2026_advent/archief/2026_advent/" lang="nl" hreflang="nl"&gt;        &lt;span class="language-flag" aria-hidden="true"&gt;🇳🇱&lt;/span&gt;        &lt;span class="language-code"&gt;NL&lt;/span&gt;        &lt;span&gt;Nederlands&lt;/span&gt;      &lt;/a&gt;</v>
      </c>
    </row>
    <row r="27" customFormat="false" ht="639.55" hidden="false" customHeight="false" outlineLevel="0" collapsed="false">
      <c r="A27" s="4" t="s">
        <v>1239</v>
      </c>
      <c r="B27" s="4" t="str">
        <f aca="false">_xlfn.ORG.LIBREOFFICE.REGEX(   A27,   "karmel\.at",   "karmel.at/arhiva/" &amp; 'range-0'!T2 )</f>
        <v>      &lt;a href="https://reculegere-online.karmel.at/arhiva/Br. Lorenz von der Auferstehung/" lang="ro" hreflang="ro"&gt;        &lt;span class="language-flag" aria-hidden="true"&gt;🇷🇴&lt;/span&gt;        &lt;span class="language-code"&gt;RO&lt;/span&gt;        &lt;span&gt;Română&lt;/span&gt;      &lt;/a&gt;</v>
      </c>
      <c r="C27" s="4" t="str">
        <f aca="false">_xlfn.ORG.LIBREOFFICE.REGEX(   B27,   "karmel\.at",   "karmel.at/arhiva/" &amp; 'range-0'!U2 )</f>
        <v>      &lt;a href="https://reculegere-online.karmel.at/arhiva/2026-11-25/arhiva/Br. Lorenz von der Auferstehung/" lang="ro" hreflang="ro"&gt;        &lt;span class="language-flag" aria-hidden="true"&gt;🇷🇴&lt;/span&gt;        &lt;span class="language-code"&gt;RO&lt;/span&gt;        &lt;span&gt;Română&lt;/span&gt;      &lt;/a&gt;</v>
      </c>
      <c r="D27" s="4" t="str">
        <f aca="false">_xlfn.ORG.LIBREOFFICE.REGEX(   C27,   "karmel\.at",   "karmel.at/arhiva/" &amp; 'range-0'!V2 )</f>
        <v>      &lt;a href="https://reculegere-online.karmel.at/arhiva/2027-01-03/arhiva/2026-11-25/arhiva/Br. Lorenz von der Auferstehung/" lang="ro" hreflang="ro"&gt;        &lt;span class="language-flag" aria-hidden="true"&gt;🇷🇴&lt;/span&gt;        &lt;span class="language-code"&gt;RO&lt;/span&gt;        &lt;span&gt;Română&lt;/span&gt;      &lt;/a&gt;</v>
      </c>
      <c r="E27" s="4" t="str">
        <f aca="false">_xlfn.ORG.LIBREOFFICE.REGEX(   D27,   "karmel\.at",   "karmel.at/arhiva/" &amp; 'range-0'!W2 )</f>
        <v>      &lt;a href="https://reculegere-online.karmel.at/arhiva/X:ALLGEMEIN0900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F27" s="4" t="str">
        <f aca="false">_xlfn.ORG.LIBREOFFICE.REGEX(   E27,   "karmel\.at",   "karmel.at/arhiva/" &amp; 'range-0'!X2 )</f>
        <v>      &lt;a href="https://reculegere-online.karmel.at/arhiva//arhiva/X:ALLGEMEIN0900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G27" s="4" t="str">
        <f aca="false">_xlfn.ORG.LIBREOFFICE.REGEX(   F27,   "karmel\.at",   "karmel.at/arhiva/" &amp; 'range-0'!Y2 )</f>
        <v>      &lt;a href="https://reculegere-online.karmel.at/arhiva/Advent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H27" s="4" t="str">
        <f aca="false">_xlfn.ORG.LIBREOFFICE.REGEX(   G27,   "karmel\.at",   "karmel.at/arhiva/" &amp; 'range-0'!Z2 )</f>
        <v>      &lt;a href="https://reculegere-online.karmel.at/arhiva//arhiva/Advent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I27" s="4" t="str">
        <f aca="false">_xlfn.ORG.LIBREOFFICE.REGEX(   H27,   "karmel\.at",   "karmel.at/arhiva/" &amp; 'range-0'!AA2 )</f>
        <v>      &lt;a href="https://reculegere-online.karmel.at/arhiva//arhiva//arhiva/Advent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J27" s="4" t="str">
        <f aca="false">_xlfn.ORG.LIBREOFFICE.REGEX(   I27,   "karmel\.at",   "karmel.at/arhiva/" &amp; 'range-0'!AB2 )</f>
        <v>      &lt;a href="https://reculegere-online.karmel.at/arhiva/Advent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K27" s="4" t="str">
        <f aca="false">_xlfn.ORG.LIBREOFFICE.REGEX(   J27,   "karmel\.at",   "karmel.at/arhiva/" &amp; 'range-0'!AC2 )</f>
        <v>      &lt;a href="https://reculegere-online.karmel.at/arhiva//arhiva/Advent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L27" s="4" t="str">
        <f aca="false">_xlfn.ORG.LIBREOFFICE.REGEX(   K27,   "karmel\.at",   "karmel.at/arhiva/" &amp; 'range-0'!AD2 )</f>
        <v>      &lt;a href="https://reculegere-online.karmel.at/arhiva//arhiva//arhiva/Advent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M27" s="4" t="str">
        <f aca="false">_xlfn.ORG.LIBREOFFICE.REGEX(   L27,   "karmel\.at",   "karmel.at/arhiva/" &amp; 'range-0'!AE2 )</f>
        <v>      &lt;a href="https://reculegere-online.karmel.at/arhiva//arhiva//arhiva//arhiva/Advent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N27" s="4" t="str">
        <f aca="false">_xlfn.ORG.LIBREOFFICE.REGEX(   M27,   "karmel\.at",   "karmel.at/arhiva/" &amp; 'range-0'!AF2 )</f>
        <v>      &lt;a href="https://reculegere-online.karmel.at/arhiva//arhiva//arhiva//arhiva//arhiva/Advent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O27" s="4" t="str">
        <f aca="false">_xlfn.ORG.LIBREOFFICE.REGEX(   N27,   "karmel\.at",   "karmel.at/arhiva/" &amp; 'range-0'!AG2 )</f>
        <v>      &lt;a href="https://reculegere-online.karmel.at/arhiva//arhiva//arhiva//arhiva//arhiva//arhiva/Advent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P27" s="4" t="str">
        <f aca="false">_xlfn.ORG.LIBREOFFICE.REGEX(   O27,   "karmel\.at",   "karmel.at/arhiva/" &amp; 'range-0'!AH2 )</f>
        <v>      &lt;a href="https://reculegere-online.karmel.at/arhiva//arhiva//arhiva//arhiva//arhiva//arhiva//arhiva/Advent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Q27" s="4" t="str">
        <f aca="false">_xlfn.ORG.LIBREOFFICE.REGEX(   P27,   "karmel\.at",   "karmel.at/arhiva/" &amp; 'range-0'!AI2 )</f>
        <v>      &lt;a href="https://reculegere-online.karmel.at/arhiva//arhiva//arhiva//arhiva//arhiva//arhiva//arhiva//arhiva/Advent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R27" s="4" t="str">
        <f aca="false">_xlfn.ORG.LIBREOFFICE.REGEX(   Q27,   "karmel\.at",   "karmel.at/arhiva/" &amp; 'range-0'!AJ2 )</f>
        <v>      &lt;a href="https://reculegere-online.karmel.at/arhiva//arhiva//arhiva//arhiva//arhiva//arhiva//arhiva//arhiva//arhiva/Advent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S27" s="4" t="str">
        <f aca="false">_xlfn.ORG.LIBREOFFICE.REGEX(   R27,   "karmel\.at",   "karmel.at/arhiva/" &amp; 'range-0'!AK2 )</f>
        <v>      &lt;a href="https://reculegere-online.karmel.at/arhiva//arhiva//arhiva//arhiva//arhiva//arhiva//arhiva//arhiva//arhiva//arhiva/Advent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T27" s="4" t="str">
        <f aca="false">_xlfn.ORG.LIBREOFFICE.REGEX(   S27,   "karmel\.at",   "karmel.at/arhiva/" &amp; 'range-0'!AL2 )</f>
        <v>      &lt;a href="https://reculegere-online.karmel.at/arhiva//arhiva//arhiva//arhiva//arhiva//arhiva//arhiva//arhiva//arhiva//arhiva//arhiva/Advent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U27" s="4" t="str">
        <f aca="false">_xlfn.ORG.LIBREOFFICE.REGEX(   T27,   "karmel\.at",   "karmel.at/arhiva/" &amp; 'range-0'!AM2 )</f>
        <v>      &lt;a href="https://reculegere-online.karmel.at/arhiva//arhiva//arhiva//arhiva//arhiva//arhiva//arhiva//arhiva//arhiva//arhiva//arhiva//arhiva/Advent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V27" s="4" t="str">
        <f aca="false">_xlfn.ORG.LIBREOFFICE.REGEX(   U27,   "karmel\.at",   "karmel.at/arhiva/" &amp; 'range-0'!AN2 )</f>
        <v>      &lt;a href="https://reculegere-online.karmel.at/arhiva//arhiva//arhiva//arhiva//arhiva//arhiva//arhiva//arhiva//arhiva//arhiva//arhiva//arhiva//arhiva/Advent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W27" s="4" t="str">
        <f aca="false">_xlfn.ORG.LIBREOFFICE.REGEX(   V27,   "karmel\.at",   "karmel.at/arhiva/" &amp; 'range-0'!AO2 )</f>
        <v>      &lt;a href="https://reculegere-online.karmel.at/arhiva/Üben in der Gegenwart Gottes/arhiva//arhiva//arhiva//arhiva//arhiva//arhiva//arhiva//arhiva//arhiva//arhiva//arhiva//arhiva//arhiva/Advent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c r="X27" s="4" t="str">
        <f aca="false">_xlfn.ORG.LIBREOFFICE.REGEX(   W27,   "karmel\.at",   "karmel.at/arhiva/" &amp; 'range-0'!AP2 )</f>
        <v>      &lt;a href="https://reculegere-online.karmel.at/arhiva//arhiva/Üben in der Gegenwart Gottes/arhiva//arhiva//arhiva//arhiva//arhiva//arhiva//arhiva//arhiva//arhiva//arhiva//arhiva//arhiva//arhiva/Advent 2026 with Brother Lawrence of the Resurrection/arhiva//arhiva//arhiva/Advent 2026 mit Bruder Lorenz von der Auferstehung/arhiva//arhiva/X:ALLGEMEIN0900 VeröffentlichungenVeröffentlichungen-aktuell2026 Advent/arhiva/2027-01-03/arhiva/2026-11-25/arhiva/Br. Lorenz von der Auferstehung/" lang="ro" hreflang="ro"&gt;        &lt;span class="language-flag" aria-hidden="true"&gt;🇷🇴&lt;/span&gt;        &lt;span class="language-code"&gt;RO&lt;/span&gt;        &lt;span&gt;Română&lt;/span&gt;      &lt;/a&gt;</v>
      </c>
    </row>
    <row r="28" customFormat="false" ht="639.55" hidden="false" customHeight="false" outlineLevel="0" collapsed="false">
      <c r="A28" s="4" t="s">
        <v>1240</v>
      </c>
      <c r="B28" s="4" t="str">
        <f aca="false">_xlfn.ORG.LIBREOFFICE.REGEX(   A28,   "karmel\.at",   "karmel.at/luu-tru/" &amp; 'range-0'!U2 )</f>
        <v>      &lt;a href="https://tinh-tam-cat-minh.karmel.at/luu-tru/2026-11-25/" lang="vi" hreflang="vi"&gt;        &lt;span class="language-flag" aria-hidden="true"&gt;🇻🇳&lt;/span&gt;        &lt;span class="language-code"&gt;VI&lt;/span&gt;        &lt;span&gt;Tiếng Việt&lt;/span&gt;      &lt;/a&gt;    &lt;/nav&gt;  &lt;/details&gt;&lt;/div&gt;      &lt;/nav&gt;</v>
      </c>
      <c r="C28" s="4" t="str">
        <f aca="false">_xlfn.ORG.LIBREOFFICE.REGEX(   B28,   "karmel\.at",   "karmel.at/luu-tru/" &amp; 'range-0'!V2 )</f>
        <v>      &lt;a href="https://tinh-tam-cat-minh.karmel.at/luu-tru/2027-01-03/luu-tru/2026-11-25/" lang="vi" hreflang="vi"&gt;        &lt;span class="language-flag" aria-hidden="true"&gt;🇻🇳&lt;/span&gt;        &lt;span class="language-code"&gt;VI&lt;/span&gt;        &lt;span&gt;Tiếng Việt&lt;/span&gt;      &lt;/a&gt;    &lt;/nav&gt;  &lt;/details&gt;&lt;/div&gt;      &lt;/nav&gt;</v>
      </c>
      <c r="D28" s="4" t="str">
        <f aca="false">_xlfn.ORG.LIBREOFFICE.REGEX(   C28,   "karmel\.at",   "karmel.at/luu-tru/" &amp; 'range-0'!W2 )</f>
        <v>      &lt;a href="https://tinh-tam-cat-minh.karmel.at/luu-tru/X:ALLGEMEIN0900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E28" s="4" t="str">
        <f aca="false">_xlfn.ORG.LIBREOFFICE.REGEX(   D28,   "karmel\.at",   "karmel.at/luu-tru/" &amp; 'range-0'!X2 )</f>
        <v>      &lt;a href="https://tinh-tam-cat-minh.karmel.at/luu-tru//luu-tru/X:ALLGEMEIN0900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F28" s="4" t="str">
        <f aca="false">_xlfn.ORG.LIBREOFFICE.REGEX(   E28,   "karmel\.at",   "karmel.at/luu-tru/" &amp; 'range-0'!Y2 )</f>
        <v>      &lt;a href="https://tinh-tam-cat-minh.karmel.at/luu-tru/Advent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G28" s="4" t="str">
        <f aca="false">_xlfn.ORG.LIBREOFFICE.REGEX(   F28,   "karmel\.at",   "karmel.at/luu-tru/" &amp; 'range-0'!Z2 )</f>
        <v>      &lt;a href="https://tinh-tam-cat-minh.karmel.at/luu-tru//luu-tru/Advent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H28" s="4" t="str">
        <f aca="false">_xlfn.ORG.LIBREOFFICE.REGEX(   G28,   "karmel\.at",   "karmel.at/luu-tru/" &amp; 'range-0'!AA2 )</f>
        <v>      &lt;a href="https://tinh-tam-cat-minh.karmel.at/luu-tru//luu-tru//luu-tru/Advent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I28" s="4" t="str">
        <f aca="false">_xlfn.ORG.LIBREOFFICE.REGEX(   H28,   "karmel\.at",   "karmel.at/luu-tru/" &amp; 'range-0'!AB2 )</f>
        <v>      &lt;a href="https://tinh-tam-cat-minh.karmel.at/luu-tru/Advent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J28" s="4" t="str">
        <f aca="false">_xlfn.ORG.LIBREOFFICE.REGEX(   I28,   "karmel\.at",   "karmel.at/luu-tru/" &amp; 'range-0'!AC2 )</f>
        <v>      &lt;a href="https://tinh-tam-cat-minh.karmel.at/luu-tru//luu-tru/Advent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K28" s="4" t="str">
        <f aca="false">_xlfn.ORG.LIBREOFFICE.REGEX(   J28,   "karmel\.at",   "karmel.at/luu-tru/" &amp; 'range-0'!AD2 )</f>
        <v>      &lt;a href="https://tinh-tam-cat-minh.karmel.at/luu-tru//luu-tru//luu-tru/Advent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L28" s="4" t="str">
        <f aca="false">_xlfn.ORG.LIBREOFFICE.REGEX(   K28,   "karmel\.at",   "karmel.at/luu-tru/" &amp; 'range-0'!AE2 )</f>
        <v>      &lt;a href="https://tinh-tam-cat-minh.karmel.at/luu-tru//luu-tru//luu-tru//luu-tru/Advent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M28" s="4" t="str">
        <f aca="false">_xlfn.ORG.LIBREOFFICE.REGEX(   L28,   "karmel\.at",   "karmel.at/luu-tru/" &amp; 'range-0'!AF2 )</f>
        <v>      &lt;a href="https://tinh-tam-cat-minh.karmel.at/luu-tru//luu-tru//luu-tru//luu-tru//luu-tru/Advent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N28" s="4" t="str">
        <f aca="false">_xlfn.ORG.LIBREOFFICE.REGEX(   M28,   "karmel\.at",   "karmel.at/luu-tru/" &amp; 'range-0'!AG2 )</f>
        <v>      &lt;a href="https://tinh-tam-cat-minh.karmel.at/luu-tru//luu-tru//luu-tru//luu-tru//luu-tru//luu-tru/Advent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O28" s="4" t="str">
        <f aca="false">_xlfn.ORG.LIBREOFFICE.REGEX(   N28,   "karmel\.at",   "karmel.at/luu-tru/" &amp; 'range-0'!AH2 )</f>
        <v>      &lt;a href="https://tinh-tam-cat-minh.karmel.at/luu-tru//luu-tru//luu-tru//luu-tru//luu-tru//luu-tru//luu-tru/Advent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P28" s="4" t="str">
        <f aca="false">_xlfn.ORG.LIBREOFFICE.REGEX(   O28,   "karmel\.at",   "karmel.at/luu-tru/" &amp; 'range-0'!AI2 )</f>
        <v>      &lt;a href="https://tinh-tam-cat-minh.karmel.at/luu-tru//luu-tru//luu-tru//luu-tru//luu-tru//luu-tru//luu-tru//luu-tru/Advent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Q28" s="4" t="str">
        <f aca="false">_xlfn.ORG.LIBREOFFICE.REGEX(   P28,   "karmel\.at",   "karmel.at/luu-tru/" &amp; 'range-0'!AJ2 )</f>
        <v>      &lt;a href="https://tinh-tam-cat-minh.karmel.at/luu-tru//luu-tru//luu-tru//luu-tru//luu-tru//luu-tru//luu-tru//luu-tru//luu-tru/Advent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R28" s="4" t="str">
        <f aca="false">_xlfn.ORG.LIBREOFFICE.REGEX(   Q28,   "karmel\.at",   "karmel.at/luu-tru/" &amp; 'range-0'!AK2 )</f>
        <v>      &lt;a href="https://tinh-tam-cat-minh.karmel.at/luu-tru//luu-tru//luu-tru//luu-tru//luu-tru//luu-tru//luu-tru//luu-tru//luu-tru//luu-tru/Advent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S28" s="4" t="str">
        <f aca="false">_xlfn.ORG.LIBREOFFICE.REGEX(   R28,   "karmel\.at",   "karmel.at/luu-tru/" &amp; 'range-0'!AL2 )</f>
        <v>      &lt;a href="https://tinh-tam-cat-minh.karmel.at/luu-tru//luu-tru//luu-tru//luu-tru//luu-tru//luu-tru//luu-tru//luu-tru//luu-tru//luu-tru//luu-tru/Advent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T28" s="4" t="str">
        <f aca="false">_xlfn.ORG.LIBREOFFICE.REGEX(   S28,   "karmel\.at",   "karmel.at/luu-tru/" &amp; 'range-0'!AM2 )</f>
        <v>      &lt;a href="https://tinh-tam-cat-minh.karmel.at/luu-tru//luu-tru//luu-tru//luu-tru//luu-tru//luu-tru//luu-tru//luu-tru//luu-tru//luu-tru//luu-tru//luu-tru/Advent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U28" s="4" t="str">
        <f aca="false">_xlfn.ORG.LIBREOFFICE.REGEX(   T28,   "karmel\.at",   "karmel.at/luu-tru/" &amp; 'range-0'!AN2 )</f>
        <v>      &lt;a href="https://tinh-tam-cat-minh.karmel.at/luu-tru//luu-tru//luu-tru//luu-tru//luu-tru//luu-tru//luu-tru//luu-tru//luu-tru//luu-tru//luu-tru//luu-tru//luu-tru/Advent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V28" s="4" t="str">
        <f aca="false">_xlfn.ORG.LIBREOFFICE.REGEX(   U28,   "karmel\.at",   "karmel.at/luu-tru/" &amp; 'range-0'!AO2 )</f>
        <v>      &lt;a href="https://tinh-tam-cat-minh.karmel.at/luu-tru/Üben in der Gegenwart Gottes/luu-tru//luu-tru//luu-tru//luu-tru//luu-tru//luu-tru//luu-tru//luu-tru//luu-tru//luu-tru//luu-tru//luu-tru//luu-tru/Advent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W28" s="4" t="str">
        <f aca="false">_xlfn.ORG.LIBREOFFICE.REGEX(   V28,   "karmel\.at",   "karmel.at/luu-tru/" &amp; 'range-0'!AP2 )</f>
        <v>      &lt;a href="https://tinh-tam-cat-minh.karmel.at/luu-tru//luu-tru/Üben in der Gegenwart Gottes/luu-tru//luu-tru//luu-tru//luu-tru//luu-tru//luu-tru//luu-tru//luu-tru//luu-tru//luu-tru//luu-tru//luu-tru//luu-tru/Advent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c r="X28" s="4" t="str">
        <f aca="false">_xlfn.ORG.LIBREOFFICE.REGEX(   W28,   "karmel\.at",   "karmel.at/luu-tru/" &amp; 'range-0'!AQ2 )</f>
        <v>      &lt;a href="https://tinh-tam-cat-minh.karmel.at/luu-tru//luu-tru//luu-tru/Üben in der Gegenwart Gottes/luu-tru//luu-tru//luu-tru//luu-tru//luu-tru//luu-tru//luu-tru//luu-tru//luu-tru//luu-tru//luu-tru//luu-tru//luu-tru/Advent 2026 with Brother Lawrence of the Resurrection/luu-tru//luu-tru//luu-tru/Advent 2026 mit Bruder Lorenz von der Auferstehung/luu-tru//luu-tru/X:ALLGEMEIN0900 VeröffentlichungenVeröffentlichungen-aktuell2026 Advent/luu-tru/2027-01-03/luu-tru/2026-11-25/" lang="vi" hreflang="vi"&gt;        &lt;span class="language-flag" aria-hidden="true"&gt;🇻🇳&lt;/span&gt;        &lt;span class="language-code"&gt;VI&lt;/span&gt;        &lt;span&gt;Tiếng Việt&lt;/span&gt;      &lt;/a&gt;    &lt;/nav&gt;  &lt;/details&gt;&lt;/div&gt;      &lt;/nav&gt;</v>
      </c>
    </row>
    <row r="29" customFormat="false" ht="12.8" hidden="false" customHeight="false" outlineLevel="0" collapsed="false">
      <c r="A29" s="5"/>
      <c r="B29" s="5"/>
      <c r="C29" s="5"/>
      <c r="D29" s="5"/>
      <c r="E29" s="5"/>
      <c r="F29" s="5"/>
      <c r="G29" s="5"/>
      <c r="H29" s="5"/>
      <c r="I29" s="5"/>
      <c r="J29" s="5"/>
      <c r="K29" s="5"/>
      <c r="L29" s="5"/>
      <c r="M29" s="5"/>
      <c r="N29" s="5"/>
      <c r="O29" s="5"/>
      <c r="P29" s="5"/>
      <c r="Q29" s="5"/>
      <c r="R29" s="5"/>
      <c r="S29" s="5"/>
      <c r="T29" s="5"/>
      <c r="U29" s="5"/>
      <c r="V29" s="5"/>
      <c r="W29" s="5"/>
      <c r="X29" s="5"/>
    </row>
    <row r="30" customFormat="false" ht="91" hidden="false" customHeight="false" outlineLevel="0" collapsed="false">
      <c r="A30" s="4" t="s">
        <v>1241</v>
      </c>
      <c r="B30" s="4" t="s">
        <v>1241</v>
      </c>
      <c r="C30" s="4" t="s">
        <v>1241</v>
      </c>
      <c r="D30" s="4" t="s">
        <v>1241</v>
      </c>
      <c r="E30" s="4" t="s">
        <v>1241</v>
      </c>
      <c r="F30" s="4" t="s">
        <v>1241</v>
      </c>
      <c r="G30" s="4" t="s">
        <v>1241</v>
      </c>
      <c r="H30" s="4" t="s">
        <v>1241</v>
      </c>
      <c r="I30" s="4" t="s">
        <v>1241</v>
      </c>
      <c r="J30" s="4" t="s">
        <v>1241</v>
      </c>
      <c r="K30" s="4" t="s">
        <v>1241</v>
      </c>
      <c r="L30" s="4" t="s">
        <v>1241</v>
      </c>
      <c r="M30" s="4" t="s">
        <v>1241</v>
      </c>
      <c r="N30" s="4" t="s">
        <v>1241</v>
      </c>
      <c r="O30" s="4" t="s">
        <v>1241</v>
      </c>
      <c r="P30" s="4" t="s">
        <v>1241</v>
      </c>
      <c r="Q30" s="4" t="s">
        <v>1241</v>
      </c>
      <c r="R30" s="4" t="s">
        <v>1241</v>
      </c>
      <c r="S30" s="4" t="s">
        <v>1241</v>
      </c>
      <c r="T30" s="4" t="s">
        <v>1241</v>
      </c>
      <c r="U30" s="4" t="s">
        <v>1241</v>
      </c>
      <c r="V30" s="4" t="s">
        <v>1241</v>
      </c>
      <c r="W30" s="4" t="s">
        <v>1241</v>
      </c>
      <c r="X30" s="4" t="s">
        <v>1241</v>
      </c>
    </row>
    <row r="31" customFormat="false" ht="488.05" hidden="false" customHeight="true" outlineLevel="0" collapsed="false">
      <c r="A31" s="4" t="s">
        <v>1242</v>
      </c>
      <c r="B31" s="4" t="str">
        <f aca="false">_xlfn.ORG.LIBREOFFICE.REGEX(   _xlfn.ORG.LIBREOFFICE.REGEX(     _xlfn.ORG.LIBREOFFICE.REGEX(       _xlfn.ORG.LIBREOFFICE.REGEX($A31, "&lt;h1&gt;\s*[^&lt;]*\s*&lt;/h1&gt;", "&lt;h1&gt;" &amp; B4 &amp; "&lt;/h1&gt;"),       "&lt;h2&gt;\s*[^&lt;]*\s*&lt;/h2&gt;",       "&lt;h2&gt;" &amp; B3 &amp; "&lt;/h2&gt;"     ),     "&lt;p&gt;\s*[^&lt;]*\s*&lt;/p&gt;",     "&lt;p&gt;" &amp; B5 &amp; "&lt;/p&gt;"   ),   "&lt;h3&gt;\s*[^&lt;]*\s*&lt;/h3&gt;",   "&lt;h3&gt;from " &amp; TEXT(B7, "mmmm d") &amp; " to " &amp; TEXT(B8, "mmmm d yyyy") &amp; "&lt;/h3&gt;" )</f>
        <v>          &lt;h1&gt;test motto&lt;/h1&gt;          &lt;h2&gt;Advent 2026 with Brother Lawrence of the Resurrection&lt;/h2&gt;&lt;h3&gt;from November 25 to January 3 2027&lt;/h3&gt;&lt;p&gt;test descr&lt;/p&gt;</v>
      </c>
      <c r="C31" s="4" t="str">
        <f aca="false">_xlfn.ORG.LIBREOFFICE.REGEX(   _xlfn.ORG.LIBREOFFICE.REGEX(     _xlfn.ORG.LIBREOFFICE.REGEX(       _xlfn.ORG.LIBREOFFICE.REGEX($A31, "&lt;h1&gt;\s*[^&lt;]*\s*&lt;/h1&gt;", "&lt;h1&gt;" &amp; C4 &amp; "&lt;/h1&gt;"),       "&lt;h2&gt;\s*[^&lt;]*\s*&lt;/h2&gt;",       "&lt;h2&gt;" &amp; C3 &amp; "&lt;/h2&gt;"     ),     "&lt;p&gt;\s*[^&lt;]*\s*&lt;/p&gt;",     "&lt;p&gt;" &amp; C5 &amp; "&lt;/p&gt;"   ),   "&lt;h3&gt;\s*[^&lt;]*\s*&lt;/h3&gt;",   "&lt;h3&gt;from " &amp; TEXT(C7, "mmmm d") &amp; " to " &amp; TEXT(C8, "mmmm d yyyy") &amp; "&lt;/h3&gt;" )</f>
        <v>          &lt;h1&gt;Encountering Christ in the Depths of Our Hearts&lt;/h1&gt;          &lt;h2&gt;Carmelite Online Lenten Retreat 2026 with Saint John of the Cross&lt;/h2&gt;&lt;h3&gt;from February 18 to April 5 2026&lt;/h3&gt;&lt;p&gt;We invite you to take part in an online retreat guided by Saint John of the Cross. Throughout this retreat, we will deepen our relationship with Jesus in the light of the Gospels. In the Holy Spirit, we will rediscover our intimacy with him and with the Father, in the very depths of our hearts. This retreat will be a path of interior liberation, with John of the Cross as our sure guide. In a world that is increasingly turned outward, he will teach us to rediscover our deepest heart, where Christ, Bridegroom of the Church, desires to meet us and to purify us. Through this purification, in the fire of the Holy Spirit, we may become the beloved children of the Father with him.&lt;/p&gt;</v>
      </c>
      <c r="D31" s="4" t="str">
        <f aca="false">_xlfn.ORG.LIBREOFFICE.REGEX(   _xlfn.ORG.LIBREOFFICE.REGEX(     _xlfn.ORG.LIBREOFFICE.REGEX(       _xlfn.ORG.LIBREOFFICE.REGEX($A31, "&lt;h1&gt;\s*[^&lt;]*\s*&lt;/h1&gt;", "&lt;h1&gt;" &amp; D4 &amp; "&lt;/h1&gt;"),       "&lt;h2&gt;\s*[^&lt;]*\s*&lt;/h2&gt;",       "&lt;h2&gt;" &amp; D3 &amp; "&lt;/h2&gt;"     ),     "&lt;p&gt;\s*[^&lt;]*\s*&lt;/p&gt;",     "&lt;p&gt;" &amp; D5 &amp; "&lt;/p&gt;"   ),   "&lt;h3&gt;\s*[^&lt;]*\s*&lt;/h3&gt;",   "&lt;h3&gt;from " &amp; TEXT(D7, "mmmm d") &amp; " to " &amp; TEXT(D8, "mmmm d yyyy") &amp; "&lt;/h3&gt;" )</f>
        <v>          &lt;h1&gt;Mariam, or the Way of the Lord's Poor&lt;/h1&gt;          &lt;h2&gt;Advent 2025 with St. Mariam of Jesus Crucified&lt;/h2&gt;&lt;h3&gt;from November 26 to December 25 2025&lt;/h3&gt;&lt;p&gt;Saint Mariam of Jesus Crucified (1846-1878), the "Little Arab," born in the Holy Land, a humble Carmelite who learned to read and write as an adult, founded Carmelite monasteries in the Holy Land and India. Her simple and radiant life, led by the Holy Spirit, invites us to let ourselves be loved and transformed by Jesus.&lt;/p&gt;</v>
      </c>
      <c r="E31" s="4" t="str">
        <f aca="false">_xlfn.ORG.LIBREOFFICE.REGEX(   _xlfn.ORG.LIBREOFFICE.REGEX(     _xlfn.ORG.LIBREOFFICE.REGEX(       _xlfn.ORG.LIBREOFFICE.REGEX($A31, "&lt;h1&gt;\s*[^&lt;]*\s*&lt;/h1&gt;", "&lt;h1&gt;" &amp; E4 &amp; "&lt;/h1&gt;"),       "&lt;h2&gt;\s*[^&lt;]*\s*&lt;/h2&gt;",       "&lt;h2&gt;" &amp; E3 &amp; "&lt;/h2&gt;"     ),     "&lt;p&gt;\s*[^&lt;]*\s*&lt;/p&gt;",     "&lt;p&gt;" &amp; E5 &amp; "&lt;/p&gt;"   ),   "&lt;h3&gt;\s*[^&lt;]*\s*&lt;/h3&gt;",   "&lt;h3&gt;from " &amp; TEXT(E7, "mmmm d") &amp; " to " &amp; TEXT(E8, "mmmm d yyyy") &amp; "&lt;/h3&gt;" )</f>
        <v>          &lt;h1&gt;&lt;/h1&gt;          &lt;h2&gt;&lt;/h2&gt;&lt;h3&gt;from March 5 to April 27 2025&lt;/h3&gt;&lt;p&gt;&lt;/p&gt;</v>
      </c>
      <c r="F31" s="4" t="str">
        <f aca="false">_xlfn.ORG.LIBREOFFICE.REGEX(   _xlfn.ORG.LIBREOFFICE.REGEX(     _xlfn.ORG.LIBREOFFICE.REGEX(       _xlfn.ORG.LIBREOFFICE.REGEX($A31, "&lt;h1&gt;\s*[^&lt;]*\s*&lt;/h1&gt;", "&lt;h1&gt;" &amp; F4 &amp; "&lt;/h1&gt;"),       "&lt;h2&gt;\s*[^&lt;]*\s*&lt;/h2&gt;",       "&lt;h2&gt;" &amp; F3 &amp; "&lt;/h2&gt;"     ),     "&lt;p&gt;\s*[^&lt;]*\s*&lt;/p&gt;",     "&lt;p&gt;" &amp; F5 &amp; "&lt;/p&gt;"   ),   "&lt;h3&gt;\s*[^&lt;]*\s*&lt;/h3&gt;",   "&lt;h3&gt;from " &amp; TEXT(F7, "mmmm d") &amp; " to " &amp; TEXT(F8, "mmmm d yyyy") &amp; "&lt;/h3&gt;" )</f>
        <v>          &lt;h1&gt;&lt;/h1&gt;          &lt;h2&gt;&lt;/h2&gt;&lt;h3&gt;from November 27 to January 5 2025&lt;/h3&gt;&lt;p&gt;&lt;/p&gt;</v>
      </c>
      <c r="G31" s="4" t="str">
        <f aca="false">_xlfn.ORG.LIBREOFFICE.REGEX(   _xlfn.ORG.LIBREOFFICE.REGEX(     _xlfn.ORG.LIBREOFFICE.REGEX(       _xlfn.ORG.LIBREOFFICE.REGEX($A31, "&lt;h1&gt;\s*[^&lt;]*\s*&lt;/h1&gt;", "&lt;h1&gt;" &amp; G4 &amp; "&lt;/h1&gt;"),       "&lt;h2&gt;\s*[^&lt;]*\s*&lt;/h2&gt;",       "&lt;h2&gt;" &amp; G3 &amp; "&lt;/h2&gt;"     ),     "&lt;p&gt;\s*[^&lt;]*\s*&lt;/p&gt;",     "&lt;p&gt;" &amp; G5 &amp; "&lt;/p&gt;"   ),   "&lt;h3&gt;\s*[^&lt;]*\s*&lt;/h3&gt;",   "&lt;h3&gt;from " &amp; TEXT(G7, "mmmm d") &amp; " to " &amp; TEXT(G8, "mmmm d yyyy") &amp; "&lt;/h3&gt;" )</f>
        <v>          &lt;h1&gt;&lt;/h1&gt;          &lt;h2&gt;&lt;/h2&gt;&lt;h3&gt;from February 14 to April 7 2024&lt;/h3&gt;&lt;p&gt;&lt;/p&gt;</v>
      </c>
      <c r="H31" s="4" t="str">
        <f aca="false">_xlfn.ORG.LIBREOFFICE.REGEX(   _xlfn.ORG.LIBREOFFICE.REGEX(     _xlfn.ORG.LIBREOFFICE.REGEX(       _xlfn.ORG.LIBREOFFICE.REGEX($A31, "&lt;h1&gt;\s*[^&lt;]*\s*&lt;/h1&gt;", "&lt;h1&gt;" &amp; H4 &amp; "&lt;/h1&gt;"),       "&lt;h2&gt;\s*[^&lt;]*\s*&lt;/h2&gt;",       "&lt;h2&gt;" &amp; H3 &amp; "&lt;/h2&gt;"     ),     "&lt;p&gt;\s*[^&lt;]*\s*&lt;/p&gt;",     "&lt;p&gt;" &amp; H5 &amp; "&lt;/p&gt;"   ),   "&lt;h3&gt;\s*[^&lt;]*\s*&lt;/h3&gt;",   "&lt;h3&gt;from " &amp; TEXT(H7, "mmmm d") &amp; " to " &amp; TEXT(H8, "mmmm d yyyy") &amp; "&lt;/h3&gt;" )</f>
        <v>          &lt;h1&gt;&lt;/h1&gt;          &lt;h2&gt;&lt;/h2&gt;&lt;h3&gt;from November 29 to December 25 2023&lt;/h3&gt;&lt;p&gt;&lt;/p&gt;</v>
      </c>
      <c r="I31" s="4" t="str">
        <f aca="false">_xlfn.ORG.LIBREOFFICE.REGEX(   _xlfn.ORG.LIBREOFFICE.REGEX(     _xlfn.ORG.LIBREOFFICE.REGEX(       _xlfn.ORG.LIBREOFFICE.REGEX($A31, "&lt;h1&gt;\s*[^&lt;]*\s*&lt;/h1&gt;", "&lt;h1&gt;" &amp; I4 &amp; "&lt;/h1&gt;"),       "&lt;h2&gt;\s*[^&lt;]*\s*&lt;/h2&gt;",       "&lt;h2&gt;" &amp; I3 &amp; "&lt;/h2&gt;"     ),     "&lt;p&gt;\s*[^&lt;]*\s*&lt;/p&gt;",     "&lt;p&gt;" &amp; I5 &amp; "&lt;/p&gt;"   ),   "&lt;h3&gt;\s*[^&lt;]*\s*&lt;/h3&gt;",   "&lt;h3&gt;from " &amp; TEXT(I7, "mmmm d") &amp; " to " &amp; TEXT(I8, "mmmm d yyyy") &amp; "&lt;/h3&gt;" )</f>
        <v>          &lt;h1&gt;&lt;/h1&gt;          &lt;h2&gt;&lt;/h2&gt;&lt;h3&gt;from February 22 to April 16 2023&lt;/h3&gt;&lt;p&gt;&lt;/p&gt;</v>
      </c>
      <c r="J31" s="4" t="str">
        <f aca="false">_xlfn.ORG.LIBREOFFICE.REGEX(   _xlfn.ORG.LIBREOFFICE.REGEX(     _xlfn.ORG.LIBREOFFICE.REGEX(       _xlfn.ORG.LIBREOFFICE.REGEX($A31, "&lt;h1&gt;\s*[^&lt;]*\s*&lt;/h1&gt;", "&lt;h1&gt;" &amp; J4 &amp; "&lt;/h1&gt;"),       "&lt;h2&gt;\s*[^&lt;]*\s*&lt;/h2&gt;",       "&lt;h2&gt;" &amp; J3 &amp; "&lt;/h2&gt;"     ),     "&lt;p&gt;\s*[^&lt;]*\s*&lt;/p&gt;",     "&lt;p&gt;" &amp; J5 &amp; "&lt;/p&gt;"   ),   "&lt;h3&gt;\s*[^&lt;]*\s*&lt;/h3&gt;",   "&lt;h3&gt;from " &amp; TEXT(J7, "mmmm d") &amp; " to " &amp; TEXT(J8, "mmmm d yyyy") &amp; "&lt;/h3&gt;" )</f>
        <v>          &lt;h1&gt;&lt;/h1&gt;          &lt;h2&gt;&lt;/h2&gt;&lt;h3&gt;from December 30 to December 30 1899&lt;/h3&gt;&lt;p&gt;&lt;/p&gt;</v>
      </c>
      <c r="K31" s="4" t="str">
        <f aca="false">_xlfn.ORG.LIBREOFFICE.REGEX(   _xlfn.ORG.LIBREOFFICE.REGEX(     _xlfn.ORG.LIBREOFFICE.REGEX(       _xlfn.ORG.LIBREOFFICE.REGEX($A31, "&lt;h1&gt;\s*[^&lt;]*\s*&lt;/h1&gt;", "&lt;h1&gt;" &amp; K4 &amp; "&lt;/h1&gt;"),       "&lt;h2&gt;\s*[^&lt;]*\s*&lt;/h2&gt;",       "&lt;h2&gt;" &amp; K3 &amp; "&lt;/h2&gt;"     ),     "&lt;p&gt;\s*[^&lt;]*\s*&lt;/p&gt;",     "&lt;p&gt;" &amp; K5 &amp; "&lt;/p&gt;"   ),   "&lt;h3&gt;\s*[^&lt;]*\s*&lt;/h3&gt;",   "&lt;h3&gt;from " &amp; TEXT(K7, "mmmm d") &amp; " to " &amp; TEXT(K8, "mmmm d yyyy") &amp; "&lt;/h3&gt;" )</f>
        <v>          &lt;h1&gt;&lt;/h1&gt;          &lt;h2&gt;&lt;/h2&gt;&lt;h3&gt;from December 30 to December 30 1899&lt;/h3&gt;&lt;p&gt;&lt;/p&gt;</v>
      </c>
      <c r="L31" s="4" t="str">
        <f aca="false">_xlfn.ORG.LIBREOFFICE.REGEX(   _xlfn.ORG.LIBREOFFICE.REGEX(     _xlfn.ORG.LIBREOFFICE.REGEX(       _xlfn.ORG.LIBREOFFICE.REGEX($A31, "&lt;h1&gt;\s*[^&lt;]*\s*&lt;/h1&gt;", "&lt;h1&gt;" &amp; L4 &amp; "&lt;/h1&gt;"),       "&lt;h2&gt;\s*[^&lt;]*\s*&lt;/h2&gt;",       "&lt;h2&gt;" &amp; L3 &amp; "&lt;/h2&gt;"     ),     "&lt;p&gt;\s*[^&lt;]*\s*&lt;/p&gt;",     "&lt;p&gt;" &amp; L5 &amp; "&lt;/p&gt;"   ),   "&lt;h3&gt;\s*[^&lt;]*\s*&lt;/h3&gt;",   "&lt;h3&gt;from " &amp; TEXT(L7, "mmmm d") &amp; " to " &amp; TEXT(L8, "mmmm d yyyy") &amp; "&lt;/h3&gt;" )</f>
        <v>          &lt;h1&gt;&lt;/h1&gt;          &lt;h2&gt;&lt;/h2&gt;&lt;h3&gt;from December 30 to December 30 1899&lt;/h3&gt;&lt;p&gt;&lt;/p&gt;</v>
      </c>
      <c r="M31" s="4" t="str">
        <f aca="false">_xlfn.ORG.LIBREOFFICE.REGEX(   _xlfn.ORG.LIBREOFFICE.REGEX(     _xlfn.ORG.LIBREOFFICE.REGEX(       _xlfn.ORG.LIBREOFFICE.REGEX($A31, "&lt;h1&gt;\s*[^&lt;]*\s*&lt;/h1&gt;", "&lt;h1&gt;" &amp; M4 &amp; "&lt;/h1&gt;"),       "&lt;h2&gt;\s*[^&lt;]*\s*&lt;/h2&gt;",       "&lt;h2&gt;" &amp; M3 &amp; "&lt;/h2&gt;"     ),     "&lt;p&gt;\s*[^&lt;]*\s*&lt;/p&gt;",     "&lt;p&gt;" &amp; M5 &amp; "&lt;/p&gt;"   ),   "&lt;h3&gt;\s*[^&lt;]*\s*&lt;/h3&gt;",   "&lt;h3&gt;from " &amp; TEXT(M7, "mmmm d") &amp; " to " &amp; TEXT(M8, "mmmm d yyyy") &amp; "&lt;/h3&gt;" )</f>
        <v>          &lt;h1&gt;&lt;/h1&gt;          &lt;h2&gt;&lt;/h2&gt;&lt;h3&gt;from December 30 to December 30 1899&lt;/h3&gt;&lt;p&gt;&lt;/p&gt;</v>
      </c>
      <c r="N31" s="4" t="str">
        <f aca="false">_xlfn.ORG.LIBREOFFICE.REGEX(   _xlfn.ORG.LIBREOFFICE.REGEX(     _xlfn.ORG.LIBREOFFICE.REGEX(       _xlfn.ORG.LIBREOFFICE.REGEX($A31, "&lt;h1&gt;\s*[^&lt;]*\s*&lt;/h1&gt;", "&lt;h1&gt;" &amp; N4 &amp; "&lt;/h1&gt;"),       "&lt;h2&gt;\s*[^&lt;]*\s*&lt;/h2&gt;",       "&lt;h2&gt;" &amp; N3 &amp; "&lt;/h2&gt;"     ),     "&lt;p&gt;\s*[^&lt;]*\s*&lt;/p&gt;",     "&lt;p&gt;" &amp; N5 &amp; "&lt;/p&gt;"   ),   "&lt;h3&gt;\s*[^&lt;]*\s*&lt;/h3&gt;",   "&lt;h3&gt;from " &amp; TEXT(N7, "mmmm d") &amp; " to " &amp; TEXT(N8, "mmmm d yyyy") &amp; "&lt;/h3&gt;" )</f>
        <v>          &lt;h1&gt;&lt;/h1&gt;          &lt;h2&gt;&lt;/h2&gt;&lt;h3&gt;from December 30 to December 30 1899&lt;/h3&gt;&lt;p&gt;&lt;/p&gt;</v>
      </c>
      <c r="O31" s="4" t="str">
        <f aca="false">_xlfn.ORG.LIBREOFFICE.REGEX(   _xlfn.ORG.LIBREOFFICE.REGEX(     _xlfn.ORG.LIBREOFFICE.REGEX(       _xlfn.ORG.LIBREOFFICE.REGEX($A31, "&lt;h1&gt;\s*[^&lt;]*\s*&lt;/h1&gt;", "&lt;h1&gt;" &amp; O4 &amp; "&lt;/h1&gt;"),       "&lt;h2&gt;\s*[^&lt;]*\s*&lt;/h2&gt;",       "&lt;h2&gt;" &amp; O3 &amp; "&lt;/h2&gt;"     ),     "&lt;p&gt;\s*[^&lt;]*\s*&lt;/p&gt;",     "&lt;p&gt;" &amp; O5 &amp; "&lt;/p&gt;"   ),   "&lt;h3&gt;\s*[^&lt;]*\s*&lt;/h3&gt;",   "&lt;h3&gt;from " &amp; TEXT(O7, "mmmm d") &amp; " to " &amp; TEXT(O8, "mmmm d yyyy") &amp; "&lt;/h3&gt;" )</f>
        <v>          &lt;h1&gt;&lt;/h1&gt;          &lt;h2&gt;&lt;/h2&gt;&lt;h3&gt;from December 30 to December 30 1899&lt;/h3&gt;&lt;p&gt;&lt;/p&gt;</v>
      </c>
      <c r="P31" s="4" t="str">
        <f aca="false">_xlfn.ORG.LIBREOFFICE.REGEX(   _xlfn.ORG.LIBREOFFICE.REGEX(     _xlfn.ORG.LIBREOFFICE.REGEX(       _xlfn.ORG.LIBREOFFICE.REGEX($A31, "&lt;h1&gt;\s*[^&lt;]*\s*&lt;/h1&gt;", "&lt;h1&gt;" &amp; P4 &amp; "&lt;/h1&gt;"),       "&lt;h2&gt;\s*[^&lt;]*\s*&lt;/h2&gt;",       "&lt;h2&gt;" &amp; P3 &amp; "&lt;/h2&gt;"     ),     "&lt;p&gt;\s*[^&lt;]*\s*&lt;/p&gt;",     "&lt;p&gt;" &amp; P5 &amp; "&lt;/p&gt;"   ),   "&lt;h3&gt;\s*[^&lt;]*\s*&lt;/h3&gt;",   "&lt;h3&gt;from " &amp; TEXT(P7, "mmmm d") &amp; " to " &amp; TEXT(P8, "mmmm d yyyy") &amp; "&lt;/h3&gt;" )</f>
        <v>          &lt;h1&gt;&lt;/h1&gt;          &lt;h2&gt;&lt;/h2&gt;&lt;h3&gt;from December 30 to December 30 1899&lt;/h3&gt;&lt;p&gt;&lt;/p&gt;</v>
      </c>
      <c r="Q31" s="4" t="str">
        <f aca="false">_xlfn.ORG.LIBREOFFICE.REGEX(   _xlfn.ORG.LIBREOFFICE.REGEX(     _xlfn.ORG.LIBREOFFICE.REGEX(       _xlfn.ORG.LIBREOFFICE.REGEX($A31, "&lt;h1&gt;\s*[^&lt;]*\s*&lt;/h1&gt;", "&lt;h1&gt;" &amp; Q4 &amp; "&lt;/h1&gt;"),       "&lt;h2&gt;\s*[^&lt;]*\s*&lt;/h2&gt;",       "&lt;h2&gt;" &amp; Q3 &amp; "&lt;/h2&gt;"     ),     "&lt;p&gt;\s*[^&lt;]*\s*&lt;/p&gt;",     "&lt;p&gt;" &amp; Q5 &amp; "&lt;/p&gt;"   ),   "&lt;h3&gt;\s*[^&lt;]*\s*&lt;/h3&gt;",   "&lt;h3&gt;from " &amp; TEXT(Q7, "mmmm d") &amp; " to " &amp; TEXT(Q8, "mmmm d yyyy") &amp; "&lt;/h3&gt;" )</f>
        <v>          &lt;h1&gt;&lt;/h1&gt;          &lt;h2&gt;&lt;/h2&gt;&lt;h3&gt;from December 30 to December 30 1899&lt;/h3&gt;&lt;p&gt;&lt;/p&gt;</v>
      </c>
      <c r="R31" s="4" t="str">
        <f aca="false">_xlfn.ORG.LIBREOFFICE.REGEX(   _xlfn.ORG.LIBREOFFICE.REGEX(     _xlfn.ORG.LIBREOFFICE.REGEX(       _xlfn.ORG.LIBREOFFICE.REGEX($A31, "&lt;h1&gt;\s*[^&lt;]*\s*&lt;/h1&gt;", "&lt;h1&gt;" &amp; R4 &amp; "&lt;/h1&gt;"),       "&lt;h2&gt;\s*[^&lt;]*\s*&lt;/h2&gt;",       "&lt;h2&gt;" &amp; R3 &amp; "&lt;/h2&gt;"     ),     "&lt;p&gt;\s*[^&lt;]*\s*&lt;/p&gt;",     "&lt;p&gt;" &amp; R5 &amp; "&lt;/p&gt;"   ),   "&lt;h3&gt;\s*[^&lt;]*\s*&lt;/h3&gt;",   "&lt;h3&gt;from " &amp; TEXT(R7, "mmmm d") &amp; " to " &amp; TEXT(R8, "mmmm d yyyy") &amp; "&lt;/h3&gt;" )</f>
        <v>          &lt;h1&gt;&lt;/h1&gt;          &lt;h2&gt;&lt;/h2&gt;&lt;h3&gt;from December 30 to December 30 1899&lt;/h3&gt;&lt;p&gt;&lt;/p&gt;</v>
      </c>
      <c r="S31" s="4" t="str">
        <f aca="false">_xlfn.ORG.LIBREOFFICE.REGEX(   _xlfn.ORG.LIBREOFFICE.REGEX(     _xlfn.ORG.LIBREOFFICE.REGEX(       _xlfn.ORG.LIBREOFFICE.REGEX($A31, "&lt;h1&gt;\s*[^&lt;]*\s*&lt;/h1&gt;", "&lt;h1&gt;" &amp; S4 &amp; "&lt;/h1&gt;"),       "&lt;h2&gt;\s*[^&lt;]*\s*&lt;/h2&gt;",       "&lt;h2&gt;" &amp; S3 &amp; "&lt;/h2&gt;"     ),     "&lt;p&gt;\s*[^&lt;]*\s*&lt;/p&gt;",     "&lt;p&gt;" &amp; S5 &amp; "&lt;/p&gt;"   ),   "&lt;h3&gt;\s*[^&lt;]*\s*&lt;/h3&gt;",   "&lt;h3&gt;from " &amp; TEXT(S7, "mmmm d") &amp; " to " &amp; TEXT(S8, "mmmm d yyyy") &amp; "&lt;/h3&gt;" )</f>
        <v>          &lt;h1&gt;&lt;/h1&gt;          &lt;h2&gt;&lt;/h2&gt;&lt;h3&gt;from December 30 to December 30 1899&lt;/h3&gt;&lt;p&gt;&lt;/p&gt;</v>
      </c>
      <c r="T31" s="4" t="str">
        <f aca="false">_xlfn.ORG.LIBREOFFICE.REGEX(   _xlfn.ORG.LIBREOFFICE.REGEX(     _xlfn.ORG.LIBREOFFICE.REGEX(       _xlfn.ORG.LIBREOFFICE.REGEX($A31, "&lt;h1&gt;\s*[^&lt;]*\s*&lt;/h1&gt;", "&lt;h1&gt;" &amp; T4 &amp; "&lt;/h1&gt;"),       "&lt;h2&gt;\s*[^&lt;]*\s*&lt;/h2&gt;",       "&lt;h2&gt;" &amp; T3 &amp; "&lt;/h2&gt;"     ),     "&lt;p&gt;\s*[^&lt;]*\s*&lt;/p&gt;",     "&lt;p&gt;" &amp; T5 &amp; "&lt;/p&gt;"   ),   "&lt;h3&gt;\s*[^&lt;]*\s*&lt;/h3&gt;",   "&lt;h3&gt;from " &amp; TEXT(T7, "mmmm d") &amp; " to " &amp; TEXT(T8, "mmmm d yyyy") &amp; "&lt;/h3&gt;" )</f>
        <v>          &lt;h1&gt;&lt;/h1&gt;          &lt;h2&gt;&lt;/h2&gt;&lt;h3&gt;from December 30 to December 30 1899&lt;/h3&gt;&lt;p&gt;&lt;/p&gt;</v>
      </c>
      <c r="U31" s="4" t="str">
        <f aca="false">_xlfn.ORG.LIBREOFFICE.REGEX(   _xlfn.ORG.LIBREOFFICE.REGEX(     _xlfn.ORG.LIBREOFFICE.REGEX(       _xlfn.ORG.LIBREOFFICE.REGEX($A31, "&lt;h1&gt;\s*[^&lt;]*\s*&lt;/h1&gt;", "&lt;h1&gt;" &amp; U4 &amp; "&lt;/h1&gt;"),       "&lt;h2&gt;\s*[^&lt;]*\s*&lt;/h2&gt;",       "&lt;h2&gt;" &amp; U3 &amp; "&lt;/h2&gt;"     ),     "&lt;p&gt;\s*[^&lt;]*\s*&lt;/p&gt;",     "&lt;p&gt;" &amp; U5 &amp; "&lt;/p&gt;"   ),   "&lt;h3&gt;\s*[^&lt;]*\s*&lt;/h3&gt;",   "&lt;h3&gt;from " &amp; TEXT(U7, "mmmm d") &amp; " to " &amp; TEXT(U8, "mmmm d yyyy") &amp; "&lt;/h3&gt;" )</f>
        <v>          &lt;h1&gt;&lt;/h1&gt;          &lt;h2&gt;&lt;/h2&gt;&lt;h3&gt;from December 30 to December 30 1899&lt;/h3&gt;&lt;p&gt;&lt;/p&gt;</v>
      </c>
      <c r="V31" s="4" t="str">
        <f aca="false">_xlfn.ORG.LIBREOFFICE.REGEX(   _xlfn.ORG.LIBREOFFICE.REGEX(     _xlfn.ORG.LIBREOFFICE.REGEX(       _xlfn.ORG.LIBREOFFICE.REGEX($A31, "&lt;h1&gt;\s*[^&lt;]*\s*&lt;/h1&gt;", "&lt;h1&gt;" &amp; V4 &amp; "&lt;/h1&gt;"),       "&lt;h2&gt;\s*[^&lt;]*\s*&lt;/h2&gt;",       "&lt;h2&gt;" &amp; V3 &amp; "&lt;/h2&gt;"     ),     "&lt;p&gt;\s*[^&lt;]*\s*&lt;/p&gt;",     "&lt;p&gt;" &amp; V5 &amp; "&lt;/p&gt;"   ),   "&lt;h3&gt;\s*[^&lt;]*\s*&lt;/h3&gt;",   "&lt;h3&gt;from " &amp; TEXT(V7, "mmmm d") &amp; " to " &amp; TEXT(V8, "mmmm d yyyy") &amp; "&lt;/h3&gt;" )</f>
        <v>          &lt;h1&gt;&lt;/h1&gt;          &lt;h2&gt;&lt;/h2&gt;&lt;h3&gt;from December 30 to December 30 1899&lt;/h3&gt;&lt;p&gt;&lt;/p&gt;</v>
      </c>
      <c r="W31" s="4" t="str">
        <f aca="false">_xlfn.ORG.LIBREOFFICE.REGEX(   _xlfn.ORG.LIBREOFFICE.REGEX(     _xlfn.ORG.LIBREOFFICE.REGEX(       _xlfn.ORG.LIBREOFFICE.REGEX($A31, "&lt;h1&gt;\s*[^&lt;]*\s*&lt;/h1&gt;", "&lt;h1&gt;" &amp; W4 &amp; "&lt;/h1&gt;"),       "&lt;h2&gt;\s*[^&lt;]*\s*&lt;/h2&gt;",       "&lt;h2&gt;" &amp; W3 &amp; "&lt;/h2&gt;"     ),     "&lt;p&gt;\s*[^&lt;]*\s*&lt;/p&gt;",     "&lt;p&gt;" &amp; W5 &amp; "&lt;/p&gt;"   ),   "&lt;h3&gt;\s*[^&lt;]*\s*&lt;/h3&gt;",   "&lt;h3&gt;from " &amp; TEXT(W7, "mmmm d") &amp; " to " &amp; TEXT(W8, "mmmm d yyyy") &amp; "&lt;/h3&gt;" )</f>
        <v>          &lt;h1&gt;&lt;/h1&gt;          &lt;h2&gt;&lt;/h2&gt;&lt;h3&gt;from December 30 to December 30 1899&lt;/h3&gt;&lt;p&gt;&lt;/p&gt;</v>
      </c>
      <c r="X31" s="4" t="str">
        <f aca="false">_xlfn.ORG.LIBREOFFICE.REGEX(   _xlfn.ORG.LIBREOFFICE.REGEX(     _xlfn.ORG.LIBREOFFICE.REGEX(       _xlfn.ORG.LIBREOFFICE.REGEX($A31, "&lt;h1&gt;\s*[^&lt;]*\s*&lt;/h1&gt;", "&lt;h1&gt;" &amp; X4 &amp; "&lt;/h1&gt;"),       "&lt;h2&gt;\s*[^&lt;]*\s*&lt;/h2&gt;",       "&lt;h2&gt;" &amp; X3 &amp; "&lt;/h2&gt;"     ),     "&lt;p&gt;\s*[^&lt;]*\s*&lt;/p&gt;",     "&lt;p&gt;" &amp; X5 &amp; "&lt;/p&gt;"   ),   "&lt;h3&gt;\s*[^&lt;]*\s*&lt;/h3&gt;",   "&lt;h3&gt;from " &amp; TEXT(X7, "mmmm d") &amp; " to " &amp; TEXT(X8, "mmmm d yyyy") &amp; "&lt;/h3&gt;" )</f>
        <v>          &lt;h1&gt;&lt;/h1&gt;          &lt;h2&gt;&lt;/h2&gt;&lt;h3&gt;from December 30 to December 30 1899&lt;/h3&gt;&lt;p&gt;&lt;/p&gt;</v>
      </c>
    </row>
    <row r="32" customFormat="false" ht="123.45" hidden="false" customHeight="true" outlineLevel="0" collapsed="false">
      <c r="A32" s="4" t="s">
        <v>1243</v>
      </c>
      <c r="B32" s="4" t="str">
        <f aca="false">_xlfn.ORG.LIBREOFFICE.REGEX($A32,   "src\s*=\s*""[^""]*""",   "src=""" &amp; B6 &amp; """" )</f>
        <v>&lt;div class="image-zoom"&gt;            &lt;img src="test src" alt=""&gt;          &lt;/div&gt;&lt;/div&gt;      &lt;/section&gt;</v>
      </c>
      <c r="C32" s="4" t="str">
        <f aca="false">_xlfn.ORG.LIBREOFFICE.REGEX($A32,   "src\s*=\s*""[^""]*""",   "src=""" &amp; C6 &amp; """" )</f>
        <v>&lt;div class="image-zoom"&gt;            &lt;img src="../en/img/2026_lent_header_EN.png" alt=""&gt;          &lt;/div&gt;&lt;/div&gt;      &lt;/section&gt;</v>
      </c>
      <c r="D32" s="4" t="str">
        <f aca="false">_xlfn.ORG.LIBREOFFICE.REGEX($A32,   "src\s*=\s*""[^""]*""",   "src=""" &amp; D6 &amp; """" )</f>
        <v>&lt;div class="image-zoom"&gt;            &lt;img src="../en/img/2025_advent_header_EN.png" alt=""&gt;          &lt;/div&gt;&lt;/div&gt;      &lt;/section&gt;</v>
      </c>
      <c r="E32" s="4" t="str">
        <f aca="false">_xlfn.ORG.LIBREOFFICE.REGEX($A32,   "src\s*=\s*""[^""]*""",   "src=""" &amp; E6 &amp; """" )</f>
        <v>&lt;div class="image-zoom"&gt;            &lt;img src="../img/FS25_header_EN.png" alt=""&gt;          &lt;/div&gt;&lt;/div&gt;      &lt;/section&gt;</v>
      </c>
      <c r="F32" s="4" t="str">
        <f aca="false">_xlfn.ORG.LIBREOFFICE.REGEX($A32,   "src\s*=\s*""[^""]*""",   "src=""" &amp; F6 &amp; """" )</f>
        <v>&lt;div class="image-zoom"&gt;            &lt;img src="../img/AD24_header_EN.png" alt=""&gt;          &lt;/div&gt;&lt;/div&gt;      &lt;/section&gt;</v>
      </c>
      <c r="G32" s="4" t="str">
        <f aca="false">_xlfn.ORG.LIBREOFFICE.REGEX($A32,   "src\s*=\s*""[^""]*""",   "src=""" &amp; G6 &amp; """" )</f>
        <v>&lt;div class="image-zoom"&gt;            &lt;img src="../en/img/2024_lent_header_EN.png" alt=""&gt;          &lt;/div&gt;&lt;/div&gt;      &lt;/section&gt;</v>
      </c>
      <c r="H32" s="4" t="str">
        <f aca="false">_xlfn.ORG.LIBREOFFICE.REGEX($A32,   "src\s*=\s*""[^""]*""",   "src=""" &amp; H6 &amp; """" )</f>
        <v>&lt;div class="image-zoom"&gt;            &lt;img src="../img/2023_advent_header_EN.png" alt=""&gt;          &lt;/div&gt;&lt;/div&gt;      &lt;/section&gt;</v>
      </c>
      <c r="I32" s="4" t="str">
        <f aca="false">_xlfn.ORG.LIBREOFFICE.REGEX($A32,   "src\s*=\s*""[^""]*""",   "src=""" &amp; I6 &amp; """" )</f>
        <v>&lt;div class="image-zoom"&gt;            &lt;img src="../img/2023_lent_header_EN.png" alt=""&gt;          &lt;/div&gt;&lt;/div&gt;      &lt;/section&gt;</v>
      </c>
      <c r="J32" s="4" t="str">
        <f aca="false">_xlfn.ORG.LIBREOFFICE.REGEX($A32,   "src\s*=\s*""[^""]*""",   "src=""" &amp; J6 &amp; """" )</f>
        <v>&lt;div class="image-zoom"&gt;            &lt;img src="" alt=""&gt;          &lt;/div&gt;&lt;/div&gt;      &lt;/section&gt;</v>
      </c>
      <c r="K32" s="4" t="str">
        <f aca="false">_xlfn.ORG.LIBREOFFICE.REGEX($A32,   "src\s*=\s*""[^""]*""",   "src=""" &amp; K6 &amp; """" )</f>
        <v>&lt;div class="image-zoom"&gt;            &lt;img src="" alt=""&gt;          &lt;/div&gt;&lt;/div&gt;      &lt;/section&gt;</v>
      </c>
      <c r="L32" s="4" t="str">
        <f aca="false">_xlfn.ORG.LIBREOFFICE.REGEX($A32,   "src\s*=\s*""[^""]*""",   "src=""" &amp; L6 &amp; """" )</f>
        <v>&lt;div class="image-zoom"&gt;            &lt;img src="" alt=""&gt;          &lt;/div&gt;&lt;/div&gt;      &lt;/section&gt;</v>
      </c>
      <c r="M32" s="4" t="str">
        <f aca="false">_xlfn.ORG.LIBREOFFICE.REGEX($A32,   "src\s*=\s*""[^""]*""",   "src=""" &amp; M6 &amp; """" )</f>
        <v>&lt;div class="image-zoom"&gt;            &lt;img src="" alt=""&gt;          &lt;/div&gt;&lt;/div&gt;      &lt;/section&gt;</v>
      </c>
      <c r="N32" s="4" t="str">
        <f aca="false">_xlfn.ORG.LIBREOFFICE.REGEX($A32,   "src\s*=\s*""[^""]*""",   "src=""" &amp; N6 &amp; """" )</f>
        <v>&lt;div class="image-zoom"&gt;            &lt;img src="" alt=""&gt;          &lt;/div&gt;&lt;/div&gt;      &lt;/section&gt;</v>
      </c>
      <c r="O32" s="4" t="str">
        <f aca="false">_xlfn.ORG.LIBREOFFICE.REGEX($A32,   "src\s*=\s*""[^""]*""",   "src=""" &amp; O6 &amp; """" )</f>
        <v>&lt;div class="image-zoom"&gt;            &lt;img src="" alt=""&gt;          &lt;/div&gt;&lt;/div&gt;      &lt;/section&gt;</v>
      </c>
      <c r="P32" s="4" t="str">
        <f aca="false">_xlfn.ORG.LIBREOFFICE.REGEX($A32,   "src\s*=\s*""[^""]*""",   "src=""" &amp; P6 &amp; """" )</f>
        <v>&lt;div class="image-zoom"&gt;            &lt;img src="" alt=""&gt;          &lt;/div&gt;&lt;/div&gt;      &lt;/section&gt;</v>
      </c>
      <c r="Q32" s="4" t="str">
        <f aca="false">_xlfn.ORG.LIBREOFFICE.REGEX($A32,   "src\s*=\s*""[^""]*""",   "src=""" &amp; Q6 &amp; """" )</f>
        <v>&lt;div class="image-zoom"&gt;            &lt;img src="" alt=""&gt;          &lt;/div&gt;&lt;/div&gt;      &lt;/section&gt;</v>
      </c>
      <c r="R32" s="4" t="str">
        <f aca="false">_xlfn.ORG.LIBREOFFICE.REGEX($A32,   "src\s*=\s*""[^""]*""",   "src=""" &amp; R6 &amp; """" )</f>
        <v>&lt;div class="image-zoom"&gt;            &lt;img src="" alt=""&gt;          &lt;/div&gt;&lt;/div&gt;      &lt;/section&gt;</v>
      </c>
      <c r="S32" s="4" t="str">
        <f aca="false">_xlfn.ORG.LIBREOFFICE.REGEX($A32,   "src\s*=\s*""[^""]*""",   "src=""" &amp; S6 &amp; """" )</f>
        <v>&lt;div class="image-zoom"&gt;            &lt;img src="" alt=""&gt;          &lt;/div&gt;&lt;/div&gt;      &lt;/section&gt;</v>
      </c>
      <c r="T32" s="4" t="str">
        <f aca="false">_xlfn.ORG.LIBREOFFICE.REGEX($A32,   "src\s*=\s*""[^""]*""",   "src=""" &amp; T6 &amp; """" )</f>
        <v>&lt;div class="image-zoom"&gt;            &lt;img src="" alt=""&gt;          &lt;/div&gt;&lt;/div&gt;      &lt;/section&gt;</v>
      </c>
      <c r="U32" s="4" t="str">
        <f aca="false">_xlfn.ORG.LIBREOFFICE.REGEX($A32,   "src\s*=\s*""[^""]*""",   "src=""" &amp; U6 &amp; """" )</f>
        <v>&lt;div class="image-zoom"&gt;            &lt;img src="" alt=""&gt;          &lt;/div&gt;&lt;/div&gt;      &lt;/section&gt;</v>
      </c>
      <c r="V32" s="4" t="str">
        <f aca="false">_xlfn.ORG.LIBREOFFICE.REGEX($A32,   "src\s*=\s*""[^""]*""",   "src=""" &amp; V6 &amp; """" )</f>
        <v>&lt;div class="image-zoom"&gt;            &lt;img src="" alt=""&gt;          &lt;/div&gt;&lt;/div&gt;      &lt;/section&gt;</v>
      </c>
      <c r="W32" s="4" t="str">
        <f aca="false">_xlfn.ORG.LIBREOFFICE.REGEX($A32,   "src\s*=\s*""[^""]*""",   "src=""" &amp; W6 &amp; """" )</f>
        <v>&lt;div class="image-zoom"&gt;            &lt;img src="" alt=""&gt;          &lt;/div&gt;&lt;/div&gt;      &lt;/section&gt;</v>
      </c>
      <c r="X32" s="4" t="str">
        <f aca="false">_xlfn.ORG.LIBREOFFICE.REGEX($A32,   "src\s*=\s*""[^""]*""",   "src=""" &amp; X6 &amp; """" )</f>
        <v>&lt;div class="image-zoom"&gt;            &lt;img src="" alt=""&gt;          &lt;/div&gt;&lt;/div&gt;      &lt;/section&gt;</v>
      </c>
    </row>
    <row r="33" customFormat="false" ht="281.3" hidden="false" customHeight="false" outlineLevel="0" collapsed="false">
      <c r="A33" s="4" t="s">
        <v>1244</v>
      </c>
      <c r="B33" s="4" t="s">
        <v>1245</v>
      </c>
      <c r="C33" s="4" t="s">
        <v>1245</v>
      </c>
      <c r="D33" s="4" t="s">
        <v>1245</v>
      </c>
      <c r="E33" s="4" t="s">
        <v>1245</v>
      </c>
      <c r="F33" s="4" t="s">
        <v>1245</v>
      </c>
      <c r="G33" s="4" t="s">
        <v>1245</v>
      </c>
      <c r="H33" s="4" t="s">
        <v>1245</v>
      </c>
      <c r="I33" s="4" t="s">
        <v>1245</v>
      </c>
      <c r="J33" s="4" t="s">
        <v>1245</v>
      </c>
      <c r="K33" s="4" t="s">
        <v>1245</v>
      </c>
      <c r="L33" s="4" t="s">
        <v>1245</v>
      </c>
      <c r="M33" s="4" t="s">
        <v>1245</v>
      </c>
      <c r="N33" s="4" t="s">
        <v>1245</v>
      </c>
      <c r="O33" s="4" t="s">
        <v>1245</v>
      </c>
      <c r="P33" s="4" t="s">
        <v>1245</v>
      </c>
      <c r="Q33" s="4" t="s">
        <v>1245</v>
      </c>
      <c r="R33" s="4" t="s">
        <v>1245</v>
      </c>
      <c r="S33" s="4" t="s">
        <v>1245</v>
      </c>
      <c r="T33" s="4" t="s">
        <v>1245</v>
      </c>
      <c r="U33" s="4" t="s">
        <v>1245</v>
      </c>
      <c r="V33" s="4" t="s">
        <v>1245</v>
      </c>
      <c r="W33" s="4" t="s">
        <v>1245</v>
      </c>
      <c r="X33" s="4" t="s">
        <v>1245</v>
      </c>
    </row>
    <row r="34" customFormat="false" ht="38.05" hidden="false" customHeight="true" outlineLevel="0" collapsed="false">
      <c r="A34" s="4" t="s">
        <v>1246</v>
      </c>
      <c r="B34" s="4" t="s">
        <v>1247</v>
      </c>
      <c r="C34" s="4" t="s">
        <v>1247</v>
      </c>
      <c r="D34" s="4" t="s">
        <v>1247</v>
      </c>
      <c r="E34" s="4" t="s">
        <v>1247</v>
      </c>
      <c r="F34" s="4" t="s">
        <v>1247</v>
      </c>
      <c r="G34" s="4" t="s">
        <v>1247</v>
      </c>
      <c r="H34" s="4" t="s">
        <v>1247</v>
      </c>
      <c r="I34" s="4" t="s">
        <v>1247</v>
      </c>
      <c r="J34" s="4" t="s">
        <v>1247</v>
      </c>
      <c r="K34" s="4" t="s">
        <v>1247</v>
      </c>
      <c r="L34" s="4" t="s">
        <v>1247</v>
      </c>
      <c r="M34" s="4" t="s">
        <v>1247</v>
      </c>
      <c r="N34" s="4" t="s">
        <v>1247</v>
      </c>
      <c r="O34" s="4" t="s">
        <v>1247</v>
      </c>
      <c r="P34" s="4" t="s">
        <v>1247</v>
      </c>
      <c r="Q34" s="4" t="s">
        <v>1247</v>
      </c>
      <c r="R34" s="4" t="s">
        <v>1247</v>
      </c>
      <c r="S34" s="4" t="s">
        <v>1247</v>
      </c>
      <c r="T34" s="4" t="s">
        <v>1247</v>
      </c>
      <c r="U34" s="4" t="s">
        <v>1247</v>
      </c>
      <c r="V34" s="4" t="s">
        <v>1247</v>
      </c>
      <c r="W34" s="4" t="s">
        <v>1247</v>
      </c>
      <c r="X34" s="4" t="s">
        <v>1247</v>
      </c>
    </row>
    <row r="35" customFormat="false" ht="111.9" hidden="false" customHeight="true" outlineLevel="0" collapsed="false">
      <c r="A35" s="4" t="s">
        <v>1248</v>
      </c>
      <c r="B35" s="4" t="s">
        <v>1248</v>
      </c>
      <c r="C35" s="4" t="s">
        <v>1248</v>
      </c>
      <c r="D35" s="4" t="s">
        <v>1248</v>
      </c>
      <c r="E35" s="4" t="s">
        <v>1248</v>
      </c>
      <c r="F35" s="4" t="s">
        <v>1248</v>
      </c>
      <c r="G35" s="4" t="s">
        <v>1248</v>
      </c>
      <c r="H35" s="4" t="s">
        <v>1248</v>
      </c>
      <c r="I35" s="4" t="s">
        <v>1248</v>
      </c>
      <c r="J35" s="4" t="s">
        <v>1248</v>
      </c>
      <c r="K35" s="4" t="s">
        <v>1248</v>
      </c>
      <c r="L35" s="4" t="s">
        <v>1248</v>
      </c>
      <c r="M35" s="4" t="s">
        <v>1248</v>
      </c>
      <c r="N35" s="4" t="s">
        <v>1248</v>
      </c>
      <c r="O35" s="4" t="s">
        <v>1248</v>
      </c>
      <c r="P35" s="4" t="s">
        <v>1248</v>
      </c>
      <c r="Q35" s="4" t="s">
        <v>1248</v>
      </c>
      <c r="R35" s="4" t="s">
        <v>1248</v>
      </c>
      <c r="S35" s="4" t="s">
        <v>1248</v>
      </c>
      <c r="T35" s="4" t="s">
        <v>1248</v>
      </c>
      <c r="U35" s="4" t="s">
        <v>1248</v>
      </c>
      <c r="V35" s="4" t="s">
        <v>1248</v>
      </c>
      <c r="W35" s="4" t="s">
        <v>1248</v>
      </c>
      <c r="X35" s="4" t="s">
        <v>1248</v>
      </c>
    </row>
    <row r="36" customFormat="false" ht="126.25" hidden="false" customHeight="true" outlineLevel="0" collapsed="false">
      <c r="A36" s="4" t="s">
        <v>1249</v>
      </c>
      <c r="B36" s="4" t="s">
        <v>1250</v>
      </c>
      <c r="C36" s="4" t="s">
        <v>1250</v>
      </c>
      <c r="D36" s="4" t="s">
        <v>1250</v>
      </c>
      <c r="E36" s="4" t="s">
        <v>1250</v>
      </c>
      <c r="F36" s="4" t="s">
        <v>1250</v>
      </c>
      <c r="G36" s="4" t="s">
        <v>1250</v>
      </c>
      <c r="H36" s="4" t="s">
        <v>1250</v>
      </c>
      <c r="I36" s="4" t="s">
        <v>1250</v>
      </c>
      <c r="J36" s="4" t="s">
        <v>1250</v>
      </c>
      <c r="K36" s="4" t="s">
        <v>1250</v>
      </c>
      <c r="L36" s="4" t="s">
        <v>1250</v>
      </c>
      <c r="M36" s="4" t="s">
        <v>1250</v>
      </c>
      <c r="N36" s="4" t="s">
        <v>1250</v>
      </c>
      <c r="O36" s="4" t="s">
        <v>1250</v>
      </c>
      <c r="P36" s="4" t="s">
        <v>1250</v>
      </c>
      <c r="Q36" s="4" t="s">
        <v>1250</v>
      </c>
      <c r="R36" s="4" t="s">
        <v>1250</v>
      </c>
      <c r="S36" s="4" t="s">
        <v>1250</v>
      </c>
      <c r="T36" s="4" t="s">
        <v>1250</v>
      </c>
      <c r="U36" s="4" t="s">
        <v>1250</v>
      </c>
      <c r="V36" s="4" t="s">
        <v>1250</v>
      </c>
      <c r="W36" s="4" t="s">
        <v>1250</v>
      </c>
      <c r="X36" s="4" t="s">
        <v>1250</v>
      </c>
    </row>
    <row r="37" customFormat="false" ht="93.25" hidden="false" customHeight="true" outlineLevel="0" collapsed="false">
      <c r="A37" s="4" t="s">
        <v>1251</v>
      </c>
      <c r="B37" s="4" t="s">
        <v>1252</v>
      </c>
      <c r="C37" s="4" t="s">
        <v>1252</v>
      </c>
      <c r="D37" s="4" t="s">
        <v>1252</v>
      </c>
      <c r="E37" s="4" t="s">
        <v>1252</v>
      </c>
      <c r="F37" s="4" t="s">
        <v>1252</v>
      </c>
      <c r="G37" s="4" t="s">
        <v>1252</v>
      </c>
      <c r="H37" s="4" t="s">
        <v>1252</v>
      </c>
      <c r="I37" s="4" t="s">
        <v>1252</v>
      </c>
      <c r="J37" s="4" t="s">
        <v>1252</v>
      </c>
      <c r="K37" s="4" t="s">
        <v>1252</v>
      </c>
      <c r="L37" s="4" t="s">
        <v>1252</v>
      </c>
      <c r="M37" s="4" t="s">
        <v>1252</v>
      </c>
      <c r="N37" s="4" t="s">
        <v>1252</v>
      </c>
      <c r="O37" s="4" t="s">
        <v>1252</v>
      </c>
      <c r="P37" s="4" t="s">
        <v>1252</v>
      </c>
      <c r="Q37" s="4" t="s">
        <v>1252</v>
      </c>
      <c r="R37" s="4" t="s">
        <v>1252</v>
      </c>
      <c r="S37" s="4" t="s">
        <v>1252</v>
      </c>
      <c r="T37" s="4" t="s">
        <v>1252</v>
      </c>
      <c r="U37" s="4" t="s">
        <v>1252</v>
      </c>
      <c r="V37" s="4" t="s">
        <v>1252</v>
      </c>
      <c r="W37" s="4" t="s">
        <v>1252</v>
      </c>
      <c r="X37" s="4" t="s">
        <v>1252</v>
      </c>
    </row>
  </sheetData>
  <hyperlinks>
    <hyperlink ref="A15" r:id="rId1" display="https://retiro-online.karmel.at/"/>
    <hyperlink ref="A16" r:id="rId2" display="https://esercizi-online.karmel.at/"/>
    <hyperlink ref="A18" r:id="rId3" display="https://rekolekcje-online.karmel.at/"/>
    <hyperlink ref="A19" r:id="rId4" display="https://retraite-arabe.karmel.at/"/>
    <hyperlink ref="A21" r:id="rId5" display="https://zaixian-tuixing.karmel.at/"/>
    <hyperlink ref="A23" r:id="rId6" display="https://online-duhovne.karmel.at/"/>
    <hyperlink ref="A24" r:id="rId7" display="https://online-lelkigyakorlat.karmel.at/"/>
    <hyperlink ref="A25" r:id="rId8" display="https://irtir-karmelitan-onlajn.karmel.at/"/>
    <hyperlink ref="A26" r:id="rId9" display="https://retraitenl.karmel.at/"/>
    <hyperlink ref="A27" r:id="rId10" display="https://reculegere-online.karmel.at/"/>
    <hyperlink ref="A28" r:id="rId11" display="https://tinh-tam-cat-minh.karmel.a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2026-09-09T12:30:12Z</dcterms:modified>
  <cp:revision>20</cp:revision>
  <dc:subject/>
  <dc:title/>
</cp:coreProperties>
</file>